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48ad5791bcbee47/Documenti/The Larder/Larder Live/Weekly Reports/"/>
    </mc:Choice>
  </mc:AlternateContent>
  <xr:revisionPtr revIDLastSave="1" documentId="8_{DEC06C99-0F84-4CF5-8EB8-044BFCFF4CB1}" xr6:coauthVersionLast="47" xr6:coauthVersionMax="47" xr10:uidLastSave="{0AAC5929-392A-44B7-9B82-F4637B4D7FD0}"/>
  <bookViews>
    <workbookView minimized="1" xWindow="7650" yWindow="4530" windowWidth="21600" windowHeight="11295" xr2:uid="{00A833B7-94F9-4A7D-B4AC-9A8085C0CF1C}"/>
  </bookViews>
  <sheets>
    <sheet name="Generate Report (2)" sheetId="1" r:id="rId1"/>
  </sheets>
  <definedNames>
    <definedName name="_xlnm.Print_Area" localSheetId="0">'Generate Report (2)'!$A$1:$P$293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<sst xmlns="http://schemas.openxmlformats.org/spreadsheetml/2006/main" count="333" uniqueCount="159">
  <si>
    <t>LARDER LICHFIELD | WEEKLY PERFORMANCE REPORT</t>
  </si>
  <si>
    <t>🔎 Search / select week ending</t>
  </si>
  <si>
    <t>Total Sales Inc VAT</t>
  </si>
  <si>
    <t>Overall GP</t>
  </si>
  <si>
    <t>Food GP</t>
  </si>
  <si>
    <t>Drink GP</t>
  </si>
  <si>
    <t>▲ Up 2.8% vs Last Year</t>
  </si>
  <si>
    <t>▲ Up 0.4% vs Last Year</t>
  </si>
  <si>
    <t>▲ Up 8.0% vs Last Year</t>
  </si>
  <si>
    <t>7W Average</t>
  </si>
  <si>
    <t>13w Average</t>
  </si>
  <si>
    <t>Adjusted</t>
  </si>
  <si>
    <t>Flash - 71.9%</t>
  </si>
  <si>
    <t>Flash - 80.6%</t>
  </si>
  <si>
    <t>▼ Down 0.4% vs LY</t>
  </si>
  <si>
    <t>▲ Up 0.5% vs LY</t>
  </si>
  <si>
    <t>▼ Down 1.0% vs LY</t>
  </si>
  <si>
    <t>13W - 69.3%</t>
  </si>
  <si>
    <t>▼ Down 0.2% vs LY</t>
  </si>
  <si>
    <t>▲ Up 1.4% vs LY</t>
  </si>
  <si>
    <t>13W - 74.5%</t>
  </si>
  <si>
    <t>▲ Up 2.2% vs LY</t>
  </si>
  <si>
    <t>Total Sales ex VAT</t>
  </si>
  <si>
    <t>Total Covers</t>
  </si>
  <si>
    <t>Spend Per Head Inc VAT</t>
  </si>
  <si>
    <t>Future Bookings</t>
  </si>
  <si>
    <t>▲ Up 8.4% vs Last Year</t>
  </si>
  <si>
    <t>▼ Down 9.6% vs Last Year</t>
  </si>
  <si>
    <t>▲ Up 19.9% vs Last Year</t>
  </si>
  <si>
    <t>▼ Down 8.0% vs Last Year</t>
  </si>
  <si>
    <t>Sales Mix</t>
  </si>
  <si>
    <t>Food - 68.5%</t>
  </si>
  <si>
    <t>Lunch - 37.8%</t>
  </si>
  <si>
    <t>▲ Up 1.6% vs LY</t>
  </si>
  <si>
    <t>Drink - 31.5%</t>
  </si>
  <si>
    <t>▲ Up 6.2% vs LY</t>
  </si>
  <si>
    <t>▼ Down 7.6% vs LY</t>
  </si>
  <si>
    <t>Dinner - 62.2%</t>
  </si>
  <si>
    <t>▲ Up 5.5% vs LY</t>
  </si>
  <si>
    <t>▲ Up 10.2% vs LY</t>
  </si>
  <si>
    <t>▲ Up 1.5% vs LY</t>
  </si>
  <si>
    <t>▼ Down 7.9% vs LY</t>
  </si>
  <si>
    <t>▼ Down 3.3% vs LY</t>
  </si>
  <si>
    <t>Wages as % of Sales</t>
  </si>
  <si>
    <t>FOH Wages as % of Sales</t>
  </si>
  <si>
    <t>Chefs Wages as % of Sales</t>
  </si>
  <si>
    <t>▼ Down 0.8% vs Last Year</t>
  </si>
  <si>
    <t>▼ Down 10.5% vs Last Year</t>
  </si>
  <si>
    <t>▼ Down 8.6% vs Last Year</t>
  </si>
  <si>
    <t>Target - 16.5%</t>
  </si>
  <si>
    <t>Target - 19.0%</t>
  </si>
  <si>
    <t>We were 0.5% over target</t>
  </si>
  <si>
    <t>We were 1.4% over target</t>
  </si>
  <si>
    <t>▲ Up 4.2% vs LY</t>
  </si>
  <si>
    <t>▲ Up 1.0% vs LY</t>
  </si>
  <si>
    <t>▼ Down 3.9% vs LY</t>
  </si>
  <si>
    <t>▼ Down 6.7% vs LY</t>
  </si>
  <si>
    <t>▼ Down 0.3% vs LY</t>
  </si>
  <si>
    <t>Executive KPI callouts</t>
  </si>
  <si>
    <t>Tab Name :</t>
  </si>
  <si>
    <t>All Sales</t>
  </si>
  <si>
    <t>Column Ref:</t>
  </si>
  <si>
    <t>Sales</t>
  </si>
  <si>
    <t>Week</t>
  </si>
  <si>
    <t>Total Sales By Week - ex VAT</t>
  </si>
  <si>
    <t>Compared To Last Year up/down %</t>
  </si>
  <si>
    <t>Food ex VAT</t>
  </si>
  <si>
    <t>Drink ex VAT</t>
  </si>
  <si>
    <t>Other ex VAT</t>
  </si>
  <si>
    <t>Total ex VAT</t>
  </si>
  <si>
    <t>7W MA</t>
  </si>
  <si>
    <t>13W MA</t>
  </si>
  <si>
    <t>LY Sales</t>
  </si>
  <si>
    <t>Same Week %</t>
  </si>
  <si>
    <t>7W %</t>
  </si>
  <si>
    <t>13W %</t>
  </si>
  <si>
    <t>Covers Summary</t>
  </si>
  <si>
    <t>Covers - Summary</t>
  </si>
  <si>
    <t>Lunch</t>
  </si>
  <si>
    <t>Dinner</t>
  </si>
  <si>
    <t>Total</t>
  </si>
  <si>
    <t>Lunch Covers</t>
  </si>
  <si>
    <t>Lunch 13W</t>
  </si>
  <si>
    <t>13W up/down on LY</t>
  </si>
  <si>
    <t>Dinner Covers</t>
  </si>
  <si>
    <t>Dinner 13W</t>
  </si>
  <si>
    <t>Total 7W</t>
  </si>
  <si>
    <t>Total 13W</t>
  </si>
  <si>
    <t>LY Covers</t>
  </si>
  <si>
    <t>14b</t>
  </si>
  <si>
    <t>14d</t>
  </si>
  <si>
    <t>Covers Detailed - Lunch</t>
  </si>
  <si>
    <t>Main Menu Covers Breakdown Lunch</t>
  </si>
  <si>
    <t>Core Offer</t>
  </si>
  <si>
    <t>Deal Offer</t>
  </si>
  <si>
    <t>Kids</t>
  </si>
  <si>
    <t>Small Plates</t>
  </si>
  <si>
    <t>Special set Menu</t>
  </si>
  <si>
    <t xml:space="preserve">Starters </t>
  </si>
  <si>
    <t xml:space="preserve">Mains </t>
  </si>
  <si>
    <t>Side Orders</t>
  </si>
  <si>
    <t>Desserts</t>
  </si>
  <si>
    <t>2 Course</t>
  </si>
  <si>
    <t>3 Course</t>
  </si>
  <si>
    <t>Enter Current</t>
  </si>
  <si>
    <t>34a</t>
  </si>
  <si>
    <t>36b</t>
  </si>
  <si>
    <t>Covers Detailed - Dinner</t>
  </si>
  <si>
    <t>Main Menu Covers Breakdown Dinner</t>
  </si>
  <si>
    <t>SPH</t>
  </si>
  <si>
    <t>Total Spend Per Head</t>
  </si>
  <si>
    <t>Total SPH inc VAT</t>
  </si>
  <si>
    <t>Total SPH</t>
  </si>
  <si>
    <t>LY SPH</t>
  </si>
  <si>
    <t>Future Bookings at week end</t>
  </si>
  <si>
    <t>LY 13W MA</t>
  </si>
  <si>
    <t>GP Overall</t>
  </si>
  <si>
    <t>Gross profit Overall</t>
  </si>
  <si>
    <t>Sales ex VAT</t>
  </si>
  <si>
    <t>Purchases ex VAT</t>
  </si>
  <si>
    <t>Overall GP%</t>
  </si>
  <si>
    <t>LY GP</t>
  </si>
  <si>
    <t>GP Food and Drink</t>
  </si>
  <si>
    <t>GP Food and Drink Adjusted</t>
  </si>
  <si>
    <t>Gross profit Food</t>
  </si>
  <si>
    <t xml:space="preserve">Food GP Adjusted </t>
  </si>
  <si>
    <t>Food GP%</t>
  </si>
  <si>
    <t>Adjusted Food GP%</t>
  </si>
  <si>
    <t>Gross profit Drink</t>
  </si>
  <si>
    <t xml:space="preserve">Drink GP Adjusted </t>
  </si>
  <si>
    <t>Drink GP%</t>
  </si>
  <si>
    <t xml:space="preserve"> Adjusted Drink GP%</t>
  </si>
  <si>
    <t>Wages</t>
  </si>
  <si>
    <t>Total Wages % of Sales</t>
  </si>
  <si>
    <t>Wages as % of Sales by Week (inc NI/PEN)</t>
  </si>
  <si>
    <t>Figures on Report SWLY</t>
  </si>
  <si>
    <t>Up or Down on SWLY</t>
  </si>
  <si>
    <t>Total Wages</t>
  </si>
  <si>
    <t>% of Sales</t>
  </si>
  <si>
    <t>LY % of Sales</t>
  </si>
  <si>
    <t>12a</t>
  </si>
  <si>
    <t>12b</t>
  </si>
  <si>
    <t>12c</t>
  </si>
  <si>
    <t>12d</t>
  </si>
  <si>
    <t>Front Of House Wages % of Sales</t>
  </si>
  <si>
    <t>FOH Wages as % of Sales by Week (inc NI/PEN)</t>
  </si>
  <si>
    <t>Variance From Target</t>
  </si>
  <si>
    <t>25a</t>
  </si>
  <si>
    <t>25b</t>
  </si>
  <si>
    <t>25c</t>
  </si>
  <si>
    <t>25d</t>
  </si>
  <si>
    <t>Chefs Wages % of Sales</t>
  </si>
  <si>
    <t>Chefs Wages as % of Sales by Week (inc NI/PEN)</t>
  </si>
  <si>
    <t>38a</t>
  </si>
  <si>
    <t>38b</t>
  </si>
  <si>
    <t>38c</t>
  </si>
  <si>
    <t>38d</t>
  </si>
  <si>
    <t>KPI/Cleaners % of Sales</t>
  </si>
  <si>
    <t>KPI/Cleaners Wages as % of Sales by Week (inc NI/PEN)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</si>
</sst>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"/>
    <numFmt numFmtId="165" formatCode="0.0%"/>
    <numFmt numFmtId="166" formatCode="&quot;£&quot;#,##0"/>
    <numFmt numFmtId="167" formatCode="&quot;£&quot;#,##0.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D4AF37"/>
      <name val="Calibri"/>
      <family val="2"/>
      <scheme val="minor"/>
    </font>
    <font>
      <b/>
      <sz val="11"/>
      <color rgb="FFD4AF37"/>
      <name val="Calibri"/>
      <family val="2"/>
      <scheme val="minor"/>
    </font>
    <font>
      <b/>
      <sz val="20"/>
      <color rgb="FF111111"/>
      <name val="Calibri"/>
      <family val="2"/>
      <scheme val="minor"/>
    </font>
    <font>
      <sz val="10"/>
      <color rgb="FF1A1A1A"/>
      <name val="Aptos"/>
      <family val="2"/>
    </font>
    <font>
      <b/>
      <sz val="11"/>
      <color rgb="FF5A4215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rgb="FF5A4215"/>
      <name val="Calibri"/>
      <family val="2"/>
      <scheme val="minor"/>
    </font>
    <font>
      <b/>
      <sz val="10"/>
      <color rgb="FF5A4215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5A4215"/>
      <name val="Calibri"/>
      <family val="2"/>
      <scheme val="minor"/>
    </font>
    <font>
      <b/>
      <sz val="14"/>
      <color rgb="FFD4AF37"/>
      <name val="Calibri"/>
      <family val="2"/>
      <scheme val="minor"/>
    </font>
    <font>
      <b/>
      <sz val="10"/>
      <color rgb="FF1A1A1A"/>
      <name val="Aptos"/>
      <family val="2"/>
    </font>
    <font>
      <b/>
      <sz val="10"/>
      <color rgb="FF111111"/>
      <name val="Aptos"/>
      <family val="2"/>
    </font>
    <font>
      <b/>
      <sz val="11"/>
      <color rgb="FF111111"/>
      <name val="Calibri"/>
      <family val="2"/>
      <scheme val="minor"/>
    </font>
    <font>
      <b/>
      <sz val="8"/>
      <color rgb="FF111111"/>
      <name val="Aptos"/>
      <family val="2"/>
    </font>
    <font>
      <b/>
      <sz val="10"/>
      <color rgb="FFFF0000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FFFDF7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3E7B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8F1D7"/>
        <bgColor indexed="64"/>
      </patternFill>
    </fill>
    <fill>
      <patternFill patternType="solid">
        <fgColor rgb="FFFBF4D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43">
    <border>
      <left/>
      <right/>
      <top/>
      <bottom/>
      <diagonal/>
    </border>
    <border>
      <left/>
      <right style="thick">
        <color rgb="FFB88A00"/>
      </right>
      <top/>
      <bottom/>
      <diagonal/>
    </border>
    <border>
      <left style="thick">
        <color rgb="FFB88A00"/>
      </left>
      <right/>
      <top style="thick">
        <color rgb="FFB88A00"/>
      </top>
      <bottom/>
      <diagonal/>
    </border>
    <border>
      <left/>
      <right/>
      <top style="thick">
        <color rgb="FFB88A00"/>
      </top>
      <bottom/>
      <diagonal/>
    </border>
    <border>
      <left style="thick">
        <color rgb="FFB88A00"/>
      </left>
      <right/>
      <top/>
      <bottom/>
      <diagonal/>
    </border>
    <border>
      <left style="thick">
        <color rgb="FFB88A00"/>
      </left>
      <right/>
      <top/>
      <bottom style="thick">
        <color rgb="FFB88A00"/>
      </bottom>
      <diagonal/>
    </border>
    <border>
      <left/>
      <right/>
      <top/>
      <bottom style="thick">
        <color rgb="FFB88A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9B56A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E6DDBF"/>
      </left>
      <right style="thin">
        <color rgb="FFE6DDBF"/>
      </right>
      <top style="thin">
        <color rgb="FFE6DDBF"/>
      </top>
      <bottom/>
      <diagonal/>
    </border>
    <border>
      <left/>
      <right/>
      <top style="thin">
        <color rgb="FFE6DDBF"/>
      </top>
      <bottom style="thin">
        <color rgb="FFE6DDBF"/>
      </bottom>
      <diagonal/>
    </border>
    <border>
      <left/>
      <right style="thin">
        <color rgb="FFE6DDBF"/>
      </right>
      <top style="thin">
        <color rgb="FFE6DDBF"/>
      </top>
      <bottom style="thin">
        <color rgb="FFE6DDBF"/>
      </bottom>
      <diagonal/>
    </border>
    <border>
      <left style="thin">
        <color rgb="FFE6DDBF"/>
      </left>
      <right/>
      <top style="thin">
        <color rgb="FFE6DDBF"/>
      </top>
      <bottom style="thin">
        <color rgb="FFE6DDBF"/>
      </bottom>
      <diagonal/>
    </border>
    <border>
      <left style="thin">
        <color rgb="FFE6DDBF"/>
      </left>
      <right style="thin">
        <color rgb="FFE6DDBF"/>
      </right>
      <top/>
      <bottom style="thin">
        <color rgb="FFE6DDBF"/>
      </bottom>
      <diagonal/>
    </border>
    <border>
      <left style="thin">
        <color rgb="FFE6DDBF"/>
      </left>
      <right style="thin">
        <color rgb="FFE6DDBF"/>
      </right>
      <top style="thin">
        <color rgb="FFE6DDBF"/>
      </top>
      <bottom style="thin">
        <color rgb="FFE6DDBF"/>
      </bottom>
      <diagonal/>
    </border>
    <border>
      <left style="thin">
        <color rgb="FFE6DDBF"/>
      </left>
      <right/>
      <top/>
      <bottom style="thin">
        <color rgb="FFE6DDBF"/>
      </bottom>
      <diagonal/>
    </border>
    <border>
      <left/>
      <right/>
      <top/>
      <bottom style="thin">
        <color rgb="FFE6DDBF"/>
      </bottom>
      <diagonal/>
    </border>
    <border>
      <left/>
      <right style="thin">
        <color rgb="FFE6DDBF"/>
      </right>
      <top/>
      <bottom style="thin">
        <color rgb="FFE6DDBF"/>
      </bottom>
      <diagonal/>
    </border>
    <border>
      <left style="thin">
        <color rgb="FFE6DDBF"/>
      </left>
      <right/>
      <top/>
      <bottom/>
      <diagonal/>
    </border>
    <border>
      <left/>
      <right style="thin">
        <color rgb="FFE6DDBF"/>
      </right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14" fontId="4" fillId="3" borderId="4" xfId="0" applyNumberFormat="1" applyFont="1" applyFill="1" applyBorder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14" fontId="4" fillId="3" borderId="6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4" fontId="7" fillId="5" borderId="0" xfId="0" applyNumberFormat="1" applyFont="1" applyFill="1" applyAlignment="1">
      <alignment horizontal="center" vertical="center"/>
    </xf>
    <xf numFmtId="164" fontId="7" fillId="5" borderId="10" xfId="0" applyNumberFormat="1" applyFont="1" applyFill="1" applyBorder="1" applyAlignment="1">
      <alignment horizontal="center" vertical="center"/>
    </xf>
    <xf numFmtId="165" fontId="8" fillId="6" borderId="11" xfId="0" applyNumberFormat="1" applyFont="1" applyFill="1" applyBorder="1" applyAlignment="1">
      <alignment horizontal="center" vertical="center"/>
    </xf>
    <xf numFmtId="165" fontId="8" fillId="6" borderId="0" xfId="0" applyNumberFormat="1" applyFont="1" applyFill="1" applyAlignment="1">
      <alignment horizontal="center" vertical="center"/>
    </xf>
    <xf numFmtId="165" fontId="8" fillId="6" borderId="10" xfId="0" applyNumberFormat="1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165" fontId="11" fillId="3" borderId="19" xfId="0" applyNumberFormat="1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165" fontId="11" fillId="3" borderId="21" xfId="0" applyNumberFormat="1" applyFont="1" applyFill="1" applyBorder="1" applyAlignment="1">
      <alignment horizontal="center"/>
    </xf>
    <xf numFmtId="164" fontId="7" fillId="5" borderId="22" xfId="0" applyNumberFormat="1" applyFont="1" applyFill="1" applyBorder="1" applyAlignment="1">
      <alignment horizontal="center" vertical="center"/>
    </xf>
    <xf numFmtId="164" fontId="7" fillId="5" borderId="23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center"/>
    </xf>
    <xf numFmtId="0" fontId="9" fillId="3" borderId="25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2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center"/>
    </xf>
    <xf numFmtId="164" fontId="8" fillId="6" borderId="11" xfId="0" applyNumberFormat="1" applyFont="1" applyFill="1" applyBorder="1" applyAlignment="1">
      <alignment horizontal="center" vertical="center"/>
    </xf>
    <xf numFmtId="164" fontId="8" fillId="6" borderId="0" xfId="0" applyNumberFormat="1" applyFont="1" applyFill="1" applyAlignment="1">
      <alignment horizontal="center" vertical="center"/>
    </xf>
    <xf numFmtId="164" fontId="8" fillId="6" borderId="10" xfId="0" applyNumberFormat="1" applyFont="1" applyFill="1" applyBorder="1" applyAlignment="1">
      <alignment horizontal="center" vertical="center"/>
    </xf>
    <xf numFmtId="1" fontId="8" fillId="6" borderId="1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166" fontId="8" fillId="6" borderId="11" xfId="0" applyNumberFormat="1" applyFont="1" applyFill="1" applyBorder="1" applyAlignment="1">
      <alignment horizontal="center" vertical="center"/>
    </xf>
    <xf numFmtId="166" fontId="8" fillId="6" borderId="0" xfId="0" applyNumberFormat="1" applyFont="1" applyFill="1" applyAlignment="1">
      <alignment horizontal="center" vertical="center"/>
    </xf>
    <xf numFmtId="166" fontId="8" fillId="6" borderId="10" xfId="0" applyNumberFormat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/>
    </xf>
    <xf numFmtId="164" fontId="11" fillId="3" borderId="19" xfId="0" applyNumberFormat="1" applyFont="1" applyFill="1" applyBorder="1" applyAlignment="1">
      <alignment horizontal="center"/>
    </xf>
    <xf numFmtId="164" fontId="11" fillId="3" borderId="21" xfId="0" applyNumberFormat="1" applyFont="1" applyFill="1" applyBorder="1" applyAlignment="1">
      <alignment horizontal="center"/>
    </xf>
    <xf numFmtId="1" fontId="11" fillId="3" borderId="19" xfId="0" applyNumberFormat="1" applyFont="1" applyFill="1" applyBorder="1" applyAlignment="1">
      <alignment horizontal="center"/>
    </xf>
    <xf numFmtId="1" fontId="11" fillId="3" borderId="21" xfId="0" applyNumberFormat="1" applyFont="1" applyFill="1" applyBorder="1" applyAlignment="1">
      <alignment horizontal="center"/>
    </xf>
    <xf numFmtId="167" fontId="11" fillId="3" borderId="19" xfId="0" applyNumberFormat="1" applyFont="1" applyFill="1" applyBorder="1" applyAlignment="1">
      <alignment horizontal="center"/>
    </xf>
    <xf numFmtId="167" fontId="11" fillId="3" borderId="21" xfId="0" applyNumberFormat="1" applyFont="1" applyFill="1" applyBorder="1" applyAlignment="1">
      <alignment horizontal="center"/>
    </xf>
    <xf numFmtId="0" fontId="9" fillId="3" borderId="29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0" fillId="7" borderId="0" xfId="0" applyFill="1" applyAlignment="1">
      <alignment horizontal="center" wrapText="1"/>
    </xf>
    <xf numFmtId="0" fontId="5" fillId="8" borderId="0" xfId="0" applyFont="1" applyFill="1" applyAlignment="1">
      <alignment horizontal="left"/>
    </xf>
    <xf numFmtId="0" fontId="14" fillId="4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15" fillId="9" borderId="31" xfId="0" applyFont="1" applyFill="1" applyBorder="1" applyAlignment="1">
      <alignment horizontal="center" vertical="center" wrapText="1"/>
    </xf>
    <xf numFmtId="0" fontId="16" fillId="10" borderId="32" xfId="0" applyFont="1" applyFill="1" applyBorder="1" applyAlignment="1">
      <alignment horizontal="center"/>
    </xf>
    <xf numFmtId="0" fontId="16" fillId="10" borderId="33" xfId="0" applyFont="1" applyFill="1" applyBorder="1" applyAlignment="1">
      <alignment horizontal="center"/>
    </xf>
    <xf numFmtId="0" fontId="16" fillId="11" borderId="34" xfId="0" applyFont="1" applyFill="1" applyBorder="1" applyAlignment="1">
      <alignment horizontal="center"/>
    </xf>
    <xf numFmtId="0" fontId="16" fillId="11" borderId="32" xfId="0" applyFont="1" applyFill="1" applyBorder="1" applyAlignment="1">
      <alignment horizontal="center"/>
    </xf>
    <xf numFmtId="0" fontId="16" fillId="11" borderId="33" xfId="0" applyFont="1" applyFill="1" applyBorder="1" applyAlignment="1">
      <alignment horizontal="center"/>
    </xf>
    <xf numFmtId="0" fontId="15" fillId="9" borderId="35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wrapText="1"/>
    </xf>
    <xf numFmtId="0" fontId="15" fillId="10" borderId="36" xfId="0" applyFont="1" applyFill="1" applyBorder="1" applyAlignment="1">
      <alignment horizontal="center" wrapText="1"/>
    </xf>
    <xf numFmtId="0" fontId="15" fillId="13" borderId="36" xfId="0" applyFont="1" applyFill="1" applyBorder="1" applyAlignment="1">
      <alignment horizontal="center" wrapText="1"/>
    </xf>
    <xf numFmtId="0" fontId="15" fillId="14" borderId="36" xfId="0" applyFont="1" applyFill="1" applyBorder="1" applyAlignment="1">
      <alignment horizontal="center" wrapText="1"/>
    </xf>
    <xf numFmtId="0" fontId="5" fillId="4" borderId="0" xfId="0" applyFont="1" applyFill="1"/>
    <xf numFmtId="14" fontId="5" fillId="7" borderId="36" xfId="0" applyNumberFormat="1" applyFont="1" applyFill="1" applyBorder="1" applyAlignment="1">
      <alignment horizontal="center"/>
    </xf>
    <xf numFmtId="164" fontId="5" fillId="7" borderId="36" xfId="0" applyNumberFormat="1" applyFont="1" applyFill="1" applyBorder="1" applyAlignment="1">
      <alignment horizontal="center"/>
    </xf>
    <xf numFmtId="164" fontId="14" fillId="10" borderId="36" xfId="0" applyNumberFormat="1" applyFont="1" applyFill="1" applyBorder="1" applyAlignment="1">
      <alignment horizontal="center"/>
    </xf>
    <xf numFmtId="164" fontId="5" fillId="15" borderId="36" xfId="0" applyNumberFormat="1" applyFont="1" applyFill="1" applyBorder="1" applyAlignment="1">
      <alignment horizontal="center"/>
    </xf>
    <xf numFmtId="164" fontId="14" fillId="13" borderId="36" xfId="0" applyNumberFormat="1" applyFont="1" applyFill="1" applyBorder="1" applyAlignment="1">
      <alignment horizontal="center"/>
    </xf>
    <xf numFmtId="165" fontId="5" fillId="16" borderId="36" xfId="0" applyNumberFormat="1" applyFont="1" applyFill="1" applyBorder="1" applyAlignment="1">
      <alignment horizontal="center"/>
    </xf>
    <xf numFmtId="0" fontId="13" fillId="2" borderId="0" xfId="0" applyFont="1" applyFill="1"/>
    <xf numFmtId="0" fontId="16" fillId="17" borderId="37" xfId="0" applyFont="1" applyFill="1" applyBorder="1" applyAlignment="1">
      <alignment horizontal="center"/>
    </xf>
    <xf numFmtId="0" fontId="16" fillId="17" borderId="38" xfId="0" applyFont="1" applyFill="1" applyBorder="1" applyAlignment="1">
      <alignment horizontal="center"/>
    </xf>
    <xf numFmtId="0" fontId="16" fillId="18" borderId="38" xfId="0" applyFont="1" applyFill="1" applyBorder="1" applyAlignment="1">
      <alignment horizontal="center"/>
    </xf>
    <xf numFmtId="0" fontId="16" fillId="10" borderId="38" xfId="0" applyFont="1" applyFill="1" applyBorder="1" applyAlignment="1">
      <alignment horizontal="center"/>
    </xf>
    <xf numFmtId="0" fontId="16" fillId="10" borderId="39" xfId="0" applyFont="1" applyFill="1" applyBorder="1" applyAlignment="1">
      <alignment horizontal="center"/>
    </xf>
    <xf numFmtId="0" fontId="16" fillId="11" borderId="37" xfId="0" applyFont="1" applyFill="1" applyBorder="1" applyAlignment="1">
      <alignment horizontal="center"/>
    </xf>
    <xf numFmtId="0" fontId="16" fillId="11" borderId="38" xfId="0" applyFont="1" applyFill="1" applyBorder="1" applyAlignment="1">
      <alignment horizontal="center"/>
    </xf>
    <xf numFmtId="0" fontId="15" fillId="19" borderId="36" xfId="0" applyFont="1" applyFill="1" applyBorder="1" applyAlignment="1">
      <alignment horizontal="center" wrapText="1"/>
    </xf>
    <xf numFmtId="0" fontId="17" fillId="14" borderId="36" xfId="0" applyFont="1" applyFill="1" applyBorder="1" applyAlignment="1">
      <alignment horizontal="center" wrapText="1"/>
    </xf>
    <xf numFmtId="0" fontId="15" fillId="5" borderId="36" xfId="0" applyFont="1" applyFill="1" applyBorder="1" applyAlignment="1">
      <alignment horizontal="center" wrapText="1"/>
    </xf>
    <xf numFmtId="3" fontId="5" fillId="0" borderId="36" xfId="0" applyNumberFormat="1" applyFont="1" applyBorder="1" applyAlignment="1">
      <alignment horizontal="center"/>
    </xf>
    <xf numFmtId="1" fontId="5" fillId="15" borderId="36" xfId="0" applyNumberFormat="1" applyFont="1" applyFill="1" applyBorder="1" applyAlignment="1">
      <alignment horizontal="center"/>
    </xf>
    <xf numFmtId="1" fontId="14" fillId="10" borderId="36" xfId="0" applyNumberFormat="1" applyFont="1" applyFill="1" applyBorder="1" applyAlignment="1">
      <alignment horizontal="center"/>
    </xf>
    <xf numFmtId="1" fontId="14" fillId="13" borderId="36" xfId="0" applyNumberFormat="1" applyFont="1" applyFill="1" applyBorder="1" applyAlignment="1">
      <alignment horizontal="center"/>
    </xf>
    <xf numFmtId="0" fontId="16" fillId="17" borderId="32" xfId="0" applyFont="1" applyFill="1" applyBorder="1" applyAlignment="1">
      <alignment horizontal="center" vertical="center"/>
    </xf>
    <xf numFmtId="1" fontId="14" fillId="15" borderId="34" xfId="0" applyNumberFormat="1" applyFont="1" applyFill="1" applyBorder="1" applyAlignment="1">
      <alignment horizontal="center" vertical="center"/>
    </xf>
    <xf numFmtId="1" fontId="14" fillId="15" borderId="33" xfId="0" applyNumberFormat="1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 wrapText="1"/>
    </xf>
    <xf numFmtId="0" fontId="15" fillId="20" borderId="40" xfId="0" applyFont="1" applyFill="1" applyBorder="1" applyAlignment="1">
      <alignment horizontal="center" vertical="center" wrapText="1"/>
    </xf>
    <xf numFmtId="0" fontId="15" fillId="20" borderId="41" xfId="0" applyFont="1" applyFill="1" applyBorder="1" applyAlignment="1">
      <alignment horizontal="center" vertical="center" wrapText="1"/>
    </xf>
    <xf numFmtId="0" fontId="15" fillId="21" borderId="36" xfId="0" applyFont="1" applyFill="1" applyBorder="1" applyAlignment="1">
      <alignment horizontal="center" vertical="center" wrapText="1"/>
    </xf>
    <xf numFmtId="0" fontId="15" fillId="19" borderId="36" xfId="0" applyFont="1" applyFill="1" applyBorder="1" applyAlignment="1">
      <alignment horizontal="center" vertical="center" wrapText="1"/>
    </xf>
    <xf numFmtId="0" fontId="18" fillId="22" borderId="36" xfId="0" applyFont="1" applyFill="1" applyBorder="1" applyAlignment="1">
      <alignment horizontal="center" vertical="center" wrapText="1"/>
    </xf>
    <xf numFmtId="0" fontId="18" fillId="23" borderId="36" xfId="0" applyFont="1" applyFill="1" applyBorder="1" applyAlignment="1">
      <alignment horizontal="center" vertical="center" wrapText="1"/>
    </xf>
    <xf numFmtId="3" fontId="5" fillId="7" borderId="36" xfId="0" applyNumberFormat="1" applyFont="1" applyFill="1" applyBorder="1" applyAlignment="1">
      <alignment horizontal="center"/>
    </xf>
    <xf numFmtId="3" fontId="14" fillId="7" borderId="36" xfId="0" applyNumberFormat="1" applyFont="1" applyFill="1" applyBorder="1" applyAlignment="1">
      <alignment horizontal="center"/>
    </xf>
    <xf numFmtId="1" fontId="14" fillId="15" borderId="36" xfId="0" applyNumberFormat="1" applyFont="1" applyFill="1" applyBorder="1" applyAlignment="1">
      <alignment horizontal="center"/>
    </xf>
    <xf numFmtId="3" fontId="14" fillId="5" borderId="36" xfId="0" applyNumberFormat="1" applyFont="1" applyFill="1" applyBorder="1" applyAlignment="1">
      <alignment horizontal="center"/>
    </xf>
    <xf numFmtId="1" fontId="14" fillId="20" borderId="36" xfId="0" applyNumberFormat="1" applyFont="1" applyFill="1" applyBorder="1" applyAlignment="1">
      <alignment horizontal="center"/>
    </xf>
    <xf numFmtId="3" fontId="14" fillId="21" borderId="36" xfId="0" applyNumberFormat="1" applyFont="1" applyFill="1" applyBorder="1" applyAlignment="1">
      <alignment horizontal="center"/>
    </xf>
    <xf numFmtId="0" fontId="16" fillId="13" borderId="32" xfId="0" applyFont="1" applyFill="1" applyBorder="1" applyAlignment="1">
      <alignment horizontal="center" vertical="center"/>
    </xf>
    <xf numFmtId="0" fontId="15" fillId="14" borderId="36" xfId="0" applyFont="1" applyFill="1" applyBorder="1" applyAlignment="1">
      <alignment horizontal="center" vertical="center" wrapText="1"/>
    </xf>
    <xf numFmtId="0" fontId="15" fillId="9" borderId="31" xfId="0" applyFont="1" applyFill="1" applyBorder="1" applyAlignment="1">
      <alignment horizontal="center" wrapText="1"/>
    </xf>
    <xf numFmtId="0" fontId="16" fillId="10" borderId="40" xfId="0" applyFont="1" applyFill="1" applyBorder="1" applyAlignment="1">
      <alignment horizontal="center"/>
    </xf>
    <xf numFmtId="0" fontId="16" fillId="10" borderId="0" xfId="0" applyFont="1" applyFill="1" applyAlignment="1">
      <alignment horizontal="center"/>
    </xf>
    <xf numFmtId="0" fontId="16" fillId="10" borderId="41" xfId="0" applyFont="1" applyFill="1" applyBorder="1" applyAlignment="1">
      <alignment horizontal="center"/>
    </xf>
    <xf numFmtId="0" fontId="15" fillId="9" borderId="35" xfId="0" applyFont="1" applyFill="1" applyBorder="1" applyAlignment="1">
      <alignment horizontal="center" wrapText="1"/>
    </xf>
    <xf numFmtId="0" fontId="16" fillId="12" borderId="36" xfId="0" applyFont="1" applyFill="1" applyBorder="1" applyAlignment="1">
      <alignment horizontal="center" wrapText="1"/>
    </xf>
    <xf numFmtId="166" fontId="5" fillId="15" borderId="36" xfId="0" applyNumberFormat="1" applyFont="1" applyFill="1" applyBorder="1" applyAlignment="1">
      <alignment horizontal="center"/>
    </xf>
    <xf numFmtId="166" fontId="14" fillId="13" borderId="36" xfId="0" applyNumberFormat="1" applyFont="1" applyFill="1" applyBorder="1" applyAlignment="1">
      <alignment horizontal="center"/>
    </xf>
    <xf numFmtId="1" fontId="5" fillId="4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0" fontId="16" fillId="10" borderId="37" xfId="0" applyFont="1" applyFill="1" applyBorder="1" applyAlignment="1">
      <alignment horizontal="center"/>
    </xf>
    <xf numFmtId="0" fontId="16" fillId="10" borderId="36" xfId="0" applyFont="1" applyFill="1" applyBorder="1" applyAlignment="1">
      <alignment horizontal="center" wrapText="1"/>
    </xf>
    <xf numFmtId="3" fontId="1" fillId="10" borderId="36" xfId="0" applyNumberFormat="1" applyFont="1" applyFill="1" applyBorder="1" applyAlignment="1">
      <alignment horizontal="center"/>
    </xf>
    <xf numFmtId="0" fontId="15" fillId="12" borderId="36" xfId="0" applyFont="1" applyFill="1" applyBorder="1" applyAlignment="1">
      <alignment horizontal="center" vertical="center" wrapText="1"/>
    </xf>
    <xf numFmtId="0" fontId="15" fillId="10" borderId="36" xfId="0" applyFont="1" applyFill="1" applyBorder="1" applyAlignment="1">
      <alignment horizontal="center" vertical="center" wrapText="1"/>
    </xf>
    <xf numFmtId="0" fontId="16" fillId="12" borderId="36" xfId="0" applyFont="1" applyFill="1" applyBorder="1" applyAlignment="1">
      <alignment horizontal="center" vertical="center" wrapText="1"/>
    </xf>
    <xf numFmtId="165" fontId="5" fillId="10" borderId="36" xfId="0" applyNumberFormat="1" applyFont="1" applyFill="1" applyBorder="1" applyAlignment="1">
      <alignment horizontal="center"/>
    </xf>
    <xf numFmtId="165" fontId="5" fillId="15" borderId="36" xfId="0" applyNumberFormat="1" applyFont="1" applyFill="1" applyBorder="1" applyAlignment="1">
      <alignment horizontal="center"/>
    </xf>
    <xf numFmtId="165" fontId="14" fillId="13" borderId="36" xfId="0" applyNumberFormat="1" applyFont="1" applyFill="1" applyBorder="1" applyAlignment="1">
      <alignment horizontal="center"/>
    </xf>
    <xf numFmtId="0" fontId="5" fillId="8" borderId="0" xfId="0" applyFont="1" applyFill="1"/>
    <xf numFmtId="0" fontId="16" fillId="18" borderId="37" xfId="0" applyFont="1" applyFill="1" applyBorder="1" applyAlignment="1">
      <alignment horizontal="center"/>
    </xf>
    <xf numFmtId="0" fontId="16" fillId="24" borderId="37" xfId="0" applyFont="1" applyFill="1" applyBorder="1" applyAlignment="1">
      <alignment horizontal="center"/>
    </xf>
    <xf numFmtId="0" fontId="16" fillId="24" borderId="38" xfId="0" applyFont="1" applyFill="1" applyBorder="1" applyAlignment="1">
      <alignment horizontal="center"/>
    </xf>
    <xf numFmtId="0" fontId="15" fillId="18" borderId="36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15" fillId="24" borderId="36" xfId="0" applyFont="1" applyFill="1" applyBorder="1" applyAlignment="1">
      <alignment horizontal="center" vertical="center" wrapText="1"/>
    </xf>
    <xf numFmtId="0" fontId="16" fillId="25" borderId="36" xfId="0" applyFont="1" applyFill="1" applyBorder="1" applyAlignment="1">
      <alignment horizontal="center" vertical="center" wrapText="1"/>
    </xf>
    <xf numFmtId="165" fontId="14" fillId="18" borderId="36" xfId="0" applyNumberFormat="1" applyFont="1" applyFill="1" applyBorder="1" applyAlignment="1">
      <alignment horizontal="center"/>
    </xf>
    <xf numFmtId="165" fontId="14" fillId="24" borderId="36" xfId="0" applyNumberFormat="1" applyFont="1" applyFill="1" applyBorder="1" applyAlignment="1">
      <alignment horizontal="center"/>
    </xf>
    <xf numFmtId="0" fontId="16" fillId="26" borderId="37" xfId="0" applyFont="1" applyFill="1" applyBorder="1" applyAlignment="1">
      <alignment horizontal="center"/>
    </xf>
    <xf numFmtId="0" fontId="16" fillId="26" borderId="38" xfId="0" applyFont="1" applyFill="1" applyBorder="1" applyAlignment="1">
      <alignment horizontal="center"/>
    </xf>
    <xf numFmtId="0" fontId="16" fillId="27" borderId="37" xfId="0" applyFont="1" applyFill="1" applyBorder="1" applyAlignment="1">
      <alignment horizontal="center"/>
    </xf>
    <xf numFmtId="0" fontId="16" fillId="27" borderId="38" xfId="0" applyFont="1" applyFill="1" applyBorder="1" applyAlignment="1">
      <alignment horizontal="center"/>
    </xf>
    <xf numFmtId="0" fontId="15" fillId="26" borderId="36" xfId="0" applyFont="1" applyFill="1" applyBorder="1" applyAlignment="1">
      <alignment horizontal="center" vertical="center" wrapText="1"/>
    </xf>
    <xf numFmtId="0" fontId="16" fillId="14" borderId="36" xfId="0" applyFont="1" applyFill="1" applyBorder="1" applyAlignment="1">
      <alignment horizontal="center" vertical="center" wrapText="1"/>
    </xf>
    <xf numFmtId="0" fontId="15" fillId="27" borderId="36" xfId="0" applyFont="1" applyFill="1" applyBorder="1" applyAlignment="1">
      <alignment horizontal="center" vertical="center" wrapText="1"/>
    </xf>
    <xf numFmtId="0" fontId="16" fillId="28" borderId="36" xfId="0" applyFont="1" applyFill="1" applyBorder="1" applyAlignment="1">
      <alignment horizontal="center" vertical="center" wrapText="1"/>
    </xf>
    <xf numFmtId="165" fontId="14" fillId="26" borderId="36" xfId="0" applyNumberFormat="1" applyFont="1" applyFill="1" applyBorder="1" applyAlignment="1">
      <alignment horizontal="center"/>
    </xf>
    <xf numFmtId="165" fontId="14" fillId="27" borderId="36" xfId="0" applyNumberFormat="1" applyFont="1" applyFill="1" applyBorder="1" applyAlignment="1">
      <alignment horizontal="center"/>
    </xf>
    <xf numFmtId="0" fontId="16" fillId="29" borderId="34" xfId="0" applyFont="1" applyFill="1" applyBorder="1" applyAlignment="1">
      <alignment horizontal="center"/>
    </xf>
    <xf numFmtId="0" fontId="16" fillId="29" borderId="32" xfId="0" applyFont="1" applyFill="1" applyBorder="1" applyAlignment="1">
      <alignment horizontal="center"/>
    </xf>
    <xf numFmtId="0" fontId="16" fillId="29" borderId="33" xfId="0" applyFont="1" applyFill="1" applyBorder="1" applyAlignment="1">
      <alignment horizontal="center"/>
    </xf>
    <xf numFmtId="0" fontId="16" fillId="18" borderId="34" xfId="0" applyFont="1" applyFill="1" applyBorder="1" applyAlignment="1">
      <alignment horizontal="center"/>
    </xf>
    <xf numFmtId="0" fontId="16" fillId="18" borderId="32" xfId="0" applyFont="1" applyFill="1" applyBorder="1" applyAlignment="1">
      <alignment horizontal="center"/>
    </xf>
    <xf numFmtId="0" fontId="16" fillId="12" borderId="42" xfId="0" applyFont="1" applyFill="1" applyBorder="1" applyAlignment="1">
      <alignment horizontal="center" vertical="center"/>
    </xf>
    <xf numFmtId="0" fontId="15" fillId="29" borderId="36" xfId="0" applyFont="1" applyFill="1" applyBorder="1" applyAlignment="1">
      <alignment horizontal="center" vertical="center" wrapText="1"/>
    </xf>
    <xf numFmtId="0" fontId="15" fillId="18" borderId="36" xfId="0" applyFont="1" applyFill="1" applyBorder="1" applyAlignment="1">
      <alignment horizontal="center" wrapText="1"/>
    </xf>
    <xf numFmtId="165" fontId="14" fillId="29" borderId="36" xfId="0" applyNumberFormat="1" applyFont="1" applyFill="1" applyBorder="1" applyAlignment="1">
      <alignment horizontal="center"/>
    </xf>
    <xf numFmtId="165" fontId="16" fillId="30" borderId="0" xfId="0" applyNumberFormat="1" applyFont="1" applyFill="1" applyAlignment="1">
      <alignment horizontal="center"/>
    </xf>
    <xf numFmtId="0" fontId="16" fillId="26" borderId="39" xfId="0" applyFont="1" applyFill="1" applyBorder="1" applyAlignment="1">
      <alignment horizontal="center"/>
    </xf>
    <xf numFmtId="0" fontId="15" fillId="30" borderId="36" xfId="0" applyFont="1" applyFill="1" applyBorder="1" applyAlignment="1">
      <alignment horizontal="center" vertical="center" wrapText="1"/>
    </xf>
    <xf numFmtId="165" fontId="14" fillId="30" borderId="36" xfId="0" applyNumberFormat="1" applyFont="1" applyFill="1" applyBorder="1" applyAlignment="1">
      <alignment horizontal="center"/>
    </xf>
    <xf numFmtId="165" fontId="16" fillId="11" borderId="0" xfId="0" applyNumberFormat="1" applyFont="1" applyFill="1" applyAlignment="1">
      <alignment horizontal="center"/>
    </xf>
    <xf numFmtId="0" fontId="16" fillId="18" borderId="39" xfId="0" applyFont="1" applyFill="1" applyBorder="1" applyAlignment="1">
      <alignment horizontal="center"/>
    </xf>
    <xf numFmtId="0" fontId="15" fillId="11" borderId="36" xfId="0" applyFont="1" applyFill="1" applyBorder="1" applyAlignment="1">
      <alignment horizontal="center" vertical="center" wrapText="1"/>
    </xf>
    <xf numFmtId="165" fontId="16" fillId="5" borderId="0" xfId="0" applyNumberFormat="1" applyFont="1" applyFill="1" applyAlignment="1">
      <alignment horizontal="center"/>
    </xf>
    <xf numFmtId="0" fontId="16" fillId="17" borderId="39" xfId="0" applyFont="1" applyFill="1" applyBorder="1" applyAlignment="1">
      <alignment horizontal="center"/>
    </xf>
    <xf numFmtId="0" fontId="15" fillId="31" borderId="36" xfId="0" applyFont="1" applyFill="1" applyBorder="1" applyAlignment="1">
      <alignment horizontal="center" vertical="center" wrapText="1"/>
    </xf>
    <xf numFmtId="0" fontId="15" fillId="17" borderId="36" xfId="0" applyFont="1" applyFill="1" applyBorder="1" applyAlignment="1">
      <alignment horizontal="center" vertical="center" wrapText="1"/>
    </xf>
    <xf numFmtId="0" fontId="16" fillId="31" borderId="36" xfId="0" applyFont="1" applyFill="1" applyBorder="1" applyAlignment="1">
      <alignment horizontal="center" vertical="center" wrapText="1"/>
    </xf>
    <xf numFmtId="165" fontId="14" fillId="17" borderId="36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fgColor indexed="64"/>
          <bgColor rgb="FFFCE4D6"/>
        </patternFill>
      </fill>
    </dxf>
    <dxf>
      <font>
        <color rgb="FF006100"/>
      </font>
      <fill>
        <patternFill patternType="solid">
          <fgColor indexed="64"/>
          <bgColor rgb="FFE2F0D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-0.499984740745262"/>
      </font>
      <fill>
        <patternFill patternType="solid">
          <bgColor rgb="FFCCFFCC"/>
        </patternFill>
      </fill>
    </dxf>
    <dxf>
      <font>
        <color rgb="FFFF0000"/>
      </font>
      <fill>
        <patternFill patternType="solid"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1720-BE8F-4A45-A876-CA7C209BE026}">
  <dimension ref="A1:P292"/>
  <sheetViews>
    <sheetView tabSelected="1" workbookViewId="0">
      <selection activeCell="D87" sqref="D87"/>
    </sheetView>
  </sheetViews>
  <sheetFormatPr defaultColWidth="8.85546875" defaultRowHeight="15" outlineLevelRow="1" x14ac:dyDescent="0.25"/>
  <cols>
    <col min="1" max="1" width="15.28515625" style="179" customWidth="1"/>
    <col min="2" max="4" width="15.28515625" style="180" customWidth="1"/>
    <col min="5" max="5" width="16" style="180" customWidth="1"/>
    <col min="6" max="6" width="15.28515625" style="180" customWidth="1"/>
    <col min="7" max="7" width="15.85546875" style="180" customWidth="1"/>
    <col min="8" max="8" width="15.28515625" style="180" customWidth="1"/>
    <col min="9" max="9" width="15.85546875" style="180" customWidth="1"/>
    <col min="10" max="10" width="15.28515625" style="180" customWidth="1"/>
    <col min="11" max="11" width="16.140625" style="180" customWidth="1"/>
    <col min="12" max="16" width="15.28515625" style="180" customWidth="1"/>
  </cols>
  <sheetData>
    <row r="1" spans="1:16" ht="15.75" customHeight="1" thickTop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 t="s">
        <v>1</v>
      </c>
      <c r="O1" s="4"/>
      <c r="P1" s="4"/>
    </row>
    <row r="2" spans="1:1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/>
      <c r="N2" s="5">
        <v>46222</v>
      </c>
      <c r="O2" s="6"/>
      <c r="P2" s="6"/>
    </row>
    <row r="3" spans="1:16" ht="15.75" customHeight="1" thickBo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"/>
      <c r="N3" s="7"/>
      <c r="O3" s="8"/>
      <c r="P3" s="8"/>
    </row>
    <row r="4" spans="1:16" ht="15.75" customHeight="1" thickTop="1" thickBot="1" x14ac:dyDescent="0.3">
      <c r="A4" s="9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ht="15.75" customHeight="1" x14ac:dyDescent="0.25">
      <c r="A5" s="11" t="s">
        <v>2</v>
      </c>
      <c r="B5" s="12"/>
      <c r="C5" s="13"/>
      <c r="D5" s="10"/>
      <c r="E5" s="11" t="s">
        <v>3</v>
      </c>
      <c r="F5" s="12"/>
      <c r="G5" s="13"/>
      <c r="H5" s="10"/>
      <c r="I5" s="11" t="s">
        <v>4</v>
      </c>
      <c r="J5" s="12"/>
      <c r="K5" s="13"/>
      <c r="L5" s="10"/>
      <c r="M5" s="11" t="s">
        <v>5</v>
      </c>
      <c r="N5" s="12"/>
      <c r="O5" s="13"/>
      <c r="P5" s="10"/>
    </row>
    <row r="6" spans="1:16" ht="15" customHeight="1" x14ac:dyDescent="0.25">
      <c r="A6" s="14">
        <v>20641.859999999997</v>
      </c>
      <c r="B6" s="14"/>
      <c r="C6" s="15"/>
      <c r="D6" s="10"/>
      <c r="E6" s="16">
        <v>0.74320860620118545</v>
      </c>
      <c r="F6" s="17"/>
      <c r="G6" s="18"/>
      <c r="H6" s="10"/>
      <c r="I6" s="16">
        <v>0.7167598779347979</v>
      </c>
      <c r="J6" s="17"/>
      <c r="K6" s="18"/>
      <c r="L6" s="10"/>
      <c r="M6" s="16">
        <v>0.80083827222779724</v>
      </c>
      <c r="N6" s="17"/>
      <c r="O6" s="18"/>
      <c r="P6" s="10"/>
    </row>
    <row r="7" spans="1:16" ht="15" customHeight="1" x14ac:dyDescent="0.25">
      <c r="A7" s="14"/>
      <c r="B7" s="14"/>
      <c r="C7" s="15"/>
      <c r="D7" s="10"/>
      <c r="E7" s="16"/>
      <c r="F7" s="17"/>
      <c r="G7" s="18"/>
      <c r="H7" s="10"/>
      <c r="I7" s="16"/>
      <c r="J7" s="17"/>
      <c r="K7" s="18"/>
      <c r="L7" s="10"/>
      <c r="M7" s="16"/>
      <c r="N7" s="17"/>
      <c r="O7" s="18"/>
      <c r="P7" s="10"/>
    </row>
    <row r="8" spans="1:16" ht="15" customHeight="1" x14ac:dyDescent="0.25">
      <c r="A8" s="14"/>
      <c r="B8" s="14"/>
      <c r="C8" s="15"/>
      <c r="D8" s="19"/>
      <c r="E8" s="20" t="s">
        <v>6</v>
      </c>
      <c r="F8" s="20"/>
      <c r="G8" s="21"/>
      <c r="H8" s="10"/>
      <c r="I8" s="22" t="s">
        <v>7</v>
      </c>
      <c r="J8" s="23"/>
      <c r="K8" s="24"/>
      <c r="L8" s="19"/>
      <c r="M8" s="20" t="s">
        <v>8</v>
      </c>
      <c r="N8" s="20"/>
      <c r="O8" s="21"/>
      <c r="P8" s="10"/>
    </row>
    <row r="9" spans="1:16" x14ac:dyDescent="0.25">
      <c r="A9" s="14"/>
      <c r="B9" s="14"/>
      <c r="C9" s="15"/>
      <c r="D9" s="10"/>
      <c r="E9" s="25" t="s">
        <v>9</v>
      </c>
      <c r="F9" s="26"/>
      <c r="G9" s="27" t="s">
        <v>10</v>
      </c>
      <c r="H9" s="10"/>
      <c r="I9" s="25" t="s">
        <v>9</v>
      </c>
      <c r="J9" s="26" t="s">
        <v>11</v>
      </c>
      <c r="K9" s="27" t="s">
        <v>10</v>
      </c>
      <c r="L9" s="10"/>
      <c r="M9" s="25" t="s">
        <v>9</v>
      </c>
      <c r="N9" s="26" t="s">
        <v>11</v>
      </c>
      <c r="O9" s="27" t="s">
        <v>10</v>
      </c>
      <c r="P9" s="10"/>
    </row>
    <row r="10" spans="1:16" ht="15" customHeight="1" x14ac:dyDescent="0.25">
      <c r="A10" s="14"/>
      <c r="B10" s="14"/>
      <c r="C10" s="15"/>
      <c r="D10" s="10"/>
      <c r="E10" s="28">
        <v>0.69438462907432197</v>
      </c>
      <c r="F10" s="29"/>
      <c r="G10" s="30">
        <v>0.70533717774490823</v>
      </c>
      <c r="H10" s="10"/>
      <c r="I10" s="28">
        <v>0.67742364894457308</v>
      </c>
      <c r="J10" s="29" t="s">
        <v>12</v>
      </c>
      <c r="K10" s="30">
        <v>0.69027717676867562</v>
      </c>
      <c r="L10" s="10"/>
      <c r="M10" s="28">
        <v>0.73210650870992189</v>
      </c>
      <c r="N10" s="29" t="s">
        <v>13</v>
      </c>
      <c r="O10" s="30">
        <v>0.7388882626933112</v>
      </c>
      <c r="P10" s="10"/>
    </row>
    <row r="11" spans="1:16" ht="15.75" thickBot="1" x14ac:dyDescent="0.3">
      <c r="A11" s="31"/>
      <c r="B11" s="31"/>
      <c r="C11" s="32"/>
      <c r="D11" s="33"/>
      <c r="E11" s="34" t="s">
        <v>14</v>
      </c>
      <c r="F11" s="35"/>
      <c r="G11" s="36" t="s">
        <v>15</v>
      </c>
      <c r="H11" s="10"/>
      <c r="I11" s="34" t="s">
        <v>16</v>
      </c>
      <c r="J11" s="35" t="s">
        <v>17</v>
      </c>
      <c r="K11" s="36" t="s">
        <v>18</v>
      </c>
      <c r="L11" s="10"/>
      <c r="M11" s="34" t="s">
        <v>19</v>
      </c>
      <c r="N11" s="35" t="s">
        <v>20</v>
      </c>
      <c r="O11" s="37" t="s">
        <v>21</v>
      </c>
      <c r="P11" s="10"/>
    </row>
    <row r="12" spans="1:16" ht="15.75" thickBot="1" x14ac:dyDescent="0.3">
      <c r="A12" s="38"/>
      <c r="B12" s="38"/>
      <c r="C12" s="38"/>
      <c r="D12" s="10"/>
      <c r="E12" s="38"/>
      <c r="F12" s="39"/>
      <c r="G12" s="39"/>
      <c r="H12" s="10"/>
      <c r="I12" s="10"/>
      <c r="J12" s="10"/>
      <c r="K12" s="39"/>
      <c r="L12" s="10"/>
      <c r="M12" s="10"/>
      <c r="N12" s="10"/>
      <c r="O12" s="10"/>
      <c r="P12" s="10"/>
    </row>
    <row r="13" spans="1:16" x14ac:dyDescent="0.25">
      <c r="A13" s="11" t="s">
        <v>22</v>
      </c>
      <c r="B13" s="12"/>
      <c r="C13" s="13"/>
      <c r="D13" s="10"/>
      <c r="E13" s="11" t="s">
        <v>23</v>
      </c>
      <c r="F13" s="12"/>
      <c r="G13" s="13"/>
      <c r="H13" s="10"/>
      <c r="I13" s="11" t="s">
        <v>24</v>
      </c>
      <c r="J13" s="12"/>
      <c r="K13" s="13"/>
      <c r="L13" s="10"/>
      <c r="M13" s="11" t="s">
        <v>25</v>
      </c>
      <c r="N13" s="12"/>
      <c r="O13" s="13"/>
      <c r="P13" s="10"/>
    </row>
    <row r="14" spans="1:16" x14ac:dyDescent="0.25">
      <c r="A14" s="40">
        <v>17201.55</v>
      </c>
      <c r="B14" s="41"/>
      <c r="C14" s="42"/>
      <c r="D14" s="10"/>
      <c r="E14" s="43">
        <v>405</v>
      </c>
      <c r="F14" s="44"/>
      <c r="G14" s="45"/>
      <c r="H14" s="10"/>
      <c r="I14" s="46">
        <v>50.967555555555549</v>
      </c>
      <c r="J14" s="47"/>
      <c r="K14" s="48"/>
      <c r="L14" s="10"/>
      <c r="M14" s="49">
        <v>231</v>
      </c>
      <c r="N14" s="44"/>
      <c r="O14" s="45"/>
      <c r="P14" s="10"/>
    </row>
    <row r="15" spans="1:16" x14ac:dyDescent="0.25">
      <c r="A15" s="40"/>
      <c r="B15" s="41"/>
      <c r="C15" s="42"/>
      <c r="D15" s="10"/>
      <c r="E15" s="49"/>
      <c r="F15" s="44"/>
      <c r="G15" s="45"/>
      <c r="H15" s="10"/>
      <c r="I15" s="46"/>
      <c r="J15" s="47"/>
      <c r="K15" s="48"/>
      <c r="L15" s="10"/>
      <c r="M15" s="49"/>
      <c r="N15" s="44"/>
      <c r="O15" s="45"/>
      <c r="P15" s="10"/>
    </row>
    <row r="16" spans="1:16" ht="15" customHeight="1" x14ac:dyDescent="0.25">
      <c r="A16" s="50" t="s">
        <v>26</v>
      </c>
      <c r="B16" s="20"/>
      <c r="C16" s="21"/>
      <c r="D16" s="19"/>
      <c r="E16" s="20" t="s">
        <v>27</v>
      </c>
      <c r="F16" s="20"/>
      <c r="G16" s="21"/>
      <c r="H16" s="19"/>
      <c r="I16" s="22" t="s">
        <v>28</v>
      </c>
      <c r="J16" s="23"/>
      <c r="K16" s="24"/>
      <c r="L16" s="10"/>
      <c r="M16" s="22" t="s">
        <v>29</v>
      </c>
      <c r="N16" s="23"/>
      <c r="O16" s="24"/>
      <c r="P16" s="10"/>
    </row>
    <row r="17" spans="1:16" ht="15" customHeight="1" x14ac:dyDescent="0.25">
      <c r="A17" s="25" t="s">
        <v>9</v>
      </c>
      <c r="B17" s="26" t="s">
        <v>30</v>
      </c>
      <c r="C17" s="27" t="s">
        <v>10</v>
      </c>
      <c r="D17" s="10"/>
      <c r="E17" s="25" t="s">
        <v>9</v>
      </c>
      <c r="F17" s="26" t="s">
        <v>30</v>
      </c>
      <c r="G17" s="27" t="s">
        <v>10</v>
      </c>
      <c r="H17" s="10"/>
      <c r="I17" s="25" t="s">
        <v>9</v>
      </c>
      <c r="J17" s="26"/>
      <c r="K17" s="27" t="s">
        <v>10</v>
      </c>
      <c r="L17" s="10"/>
      <c r="M17" s="25" t="s">
        <v>9</v>
      </c>
      <c r="N17" s="26"/>
      <c r="O17" s="27" t="s">
        <v>10</v>
      </c>
      <c r="P17" s="10"/>
    </row>
    <row r="18" spans="1:16" x14ac:dyDescent="0.25">
      <c r="A18" s="51">
        <v>15230.287619047622</v>
      </c>
      <c r="B18" s="29" t="s">
        <v>31</v>
      </c>
      <c r="C18" s="52">
        <v>16036.731153846153</v>
      </c>
      <c r="D18" s="10"/>
      <c r="E18" s="53">
        <v>366.28571428571428</v>
      </c>
      <c r="F18" s="29" t="s">
        <v>32</v>
      </c>
      <c r="G18" s="54">
        <v>398.98076923076923</v>
      </c>
      <c r="H18" s="10"/>
      <c r="I18" s="55">
        <v>49.867962032749624</v>
      </c>
      <c r="J18" s="29"/>
      <c r="K18" s="56">
        <v>48.689857032351227</v>
      </c>
      <c r="L18" s="33"/>
      <c r="M18" s="53">
        <v>233</v>
      </c>
      <c r="N18" s="57"/>
      <c r="O18" s="54">
        <v>246.61538461538461</v>
      </c>
      <c r="P18" s="10"/>
    </row>
    <row r="19" spans="1:16" ht="15.75" thickBot="1" x14ac:dyDescent="0.3">
      <c r="A19" s="58" t="s">
        <v>33</v>
      </c>
      <c r="B19" s="35" t="s">
        <v>34</v>
      </c>
      <c r="C19" s="36" t="s">
        <v>35</v>
      </c>
      <c r="D19" s="10"/>
      <c r="E19" s="34" t="s">
        <v>36</v>
      </c>
      <c r="F19" s="35" t="s">
        <v>37</v>
      </c>
      <c r="G19" s="37" t="s">
        <v>38</v>
      </c>
      <c r="H19" s="10"/>
      <c r="I19" s="34" t="s">
        <v>39</v>
      </c>
      <c r="J19" s="35"/>
      <c r="K19" s="36" t="s">
        <v>40</v>
      </c>
      <c r="L19" s="10"/>
      <c r="M19" s="34" t="s">
        <v>41</v>
      </c>
      <c r="N19" s="35"/>
      <c r="O19" s="37" t="s">
        <v>42</v>
      </c>
      <c r="P19" s="10"/>
    </row>
    <row r="20" spans="1:16" ht="15.75" thickBot="1" x14ac:dyDescent="0.3">
      <c r="A20" s="38"/>
      <c r="B20" s="10"/>
      <c r="C20" s="38"/>
      <c r="D20" s="10"/>
      <c r="E20" s="10"/>
      <c r="F20" s="10"/>
      <c r="G20" s="38"/>
      <c r="H20" s="10"/>
      <c r="I20" s="10"/>
      <c r="J20" s="10"/>
      <c r="K20" s="38"/>
      <c r="L20" s="10"/>
      <c r="M20" s="10"/>
      <c r="N20" s="10"/>
      <c r="O20" s="10"/>
      <c r="P20" s="10"/>
    </row>
    <row r="21" spans="1:16" x14ac:dyDescent="0.25">
      <c r="A21" s="11" t="s">
        <v>43</v>
      </c>
      <c r="B21" s="12"/>
      <c r="C21" s="13"/>
      <c r="D21" s="10"/>
      <c r="E21" s="11" t="s">
        <v>44</v>
      </c>
      <c r="F21" s="12"/>
      <c r="G21" s="13"/>
      <c r="H21" s="10"/>
      <c r="I21" s="11" t="s">
        <v>45</v>
      </c>
      <c r="J21" s="12"/>
      <c r="K21" s="13"/>
      <c r="L21" s="10"/>
      <c r="M21" s="10"/>
      <c r="N21" s="10"/>
      <c r="O21" s="10"/>
      <c r="P21" s="10"/>
    </row>
    <row r="22" spans="1:16" ht="15" customHeight="1" x14ac:dyDescent="0.25">
      <c r="A22" s="16">
        <v>0.50227488288136291</v>
      </c>
      <c r="B22" s="17"/>
      <c r="C22" s="18"/>
      <c r="D22" s="10"/>
      <c r="E22" s="16">
        <v>0.16961313586329738</v>
      </c>
      <c r="F22" s="17"/>
      <c r="G22" s="18"/>
      <c r="H22" s="10"/>
      <c r="I22" s="16">
        <v>0.20431179369787728</v>
      </c>
      <c r="J22" s="17"/>
      <c r="K22" s="18"/>
      <c r="L22" s="10"/>
      <c r="M22" s="10"/>
      <c r="N22" s="10"/>
      <c r="O22" s="10"/>
      <c r="P22" s="10"/>
    </row>
    <row r="23" spans="1:16" ht="15" customHeight="1" x14ac:dyDescent="0.25">
      <c r="A23" s="16"/>
      <c r="B23" s="17"/>
      <c r="C23" s="18"/>
      <c r="D23" s="10"/>
      <c r="E23" s="16"/>
      <c r="F23" s="17"/>
      <c r="G23" s="18"/>
      <c r="H23" s="10"/>
      <c r="I23" s="16"/>
      <c r="J23" s="17"/>
      <c r="K23" s="18"/>
      <c r="L23" s="10"/>
      <c r="M23" s="10"/>
      <c r="N23" s="10"/>
      <c r="O23" s="10"/>
      <c r="P23" s="10"/>
    </row>
    <row r="24" spans="1:16" ht="15" customHeight="1" x14ac:dyDescent="0.25">
      <c r="A24" s="22" t="s">
        <v>46</v>
      </c>
      <c r="B24" s="23"/>
      <c r="C24" s="24"/>
      <c r="D24" s="10"/>
      <c r="E24" s="22" t="s">
        <v>47</v>
      </c>
      <c r="F24" s="23"/>
      <c r="G24" s="24"/>
      <c r="H24" s="10"/>
      <c r="I24" s="22" t="s">
        <v>48</v>
      </c>
      <c r="J24" s="23"/>
      <c r="K24" s="24"/>
      <c r="L24" s="10"/>
      <c r="M24" s="10"/>
      <c r="N24" s="10"/>
      <c r="O24" s="10"/>
      <c r="P24" s="10"/>
    </row>
    <row r="25" spans="1:16" x14ac:dyDescent="0.25">
      <c r="A25" s="25" t="s">
        <v>9</v>
      </c>
      <c r="B25" s="26"/>
      <c r="C25" s="27" t="s">
        <v>10</v>
      </c>
      <c r="D25" s="10"/>
      <c r="E25" s="25" t="s">
        <v>9</v>
      </c>
      <c r="F25" s="26" t="s">
        <v>49</v>
      </c>
      <c r="G25" s="27" t="s">
        <v>10</v>
      </c>
      <c r="H25" s="10"/>
      <c r="I25" s="25" t="s">
        <v>9</v>
      </c>
      <c r="J25" s="26" t="s">
        <v>50</v>
      </c>
      <c r="K25" s="27" t="s">
        <v>10</v>
      </c>
      <c r="L25" s="10"/>
      <c r="M25" s="10"/>
      <c r="N25" s="10"/>
      <c r="O25" s="10"/>
      <c r="P25" s="10"/>
    </row>
    <row r="26" spans="1:16" x14ac:dyDescent="0.25">
      <c r="A26" s="28">
        <v>0.57463712155562208</v>
      </c>
      <c r="B26" s="29"/>
      <c r="C26" s="30">
        <v>0.55458406874696764</v>
      </c>
      <c r="D26" s="10"/>
      <c r="E26" s="28">
        <v>0.18706455068753058</v>
      </c>
      <c r="F26" s="59" t="s">
        <v>51</v>
      </c>
      <c r="G26" s="30">
        <v>0.18598946989285434</v>
      </c>
      <c r="H26" s="10"/>
      <c r="I26" s="28">
        <v>0.25448467428847688</v>
      </c>
      <c r="J26" s="59" t="s">
        <v>52</v>
      </c>
      <c r="K26" s="30">
        <v>0.24542400813805279</v>
      </c>
      <c r="L26" s="10"/>
      <c r="M26" s="10"/>
      <c r="N26" s="10"/>
      <c r="O26" s="10"/>
      <c r="P26" s="10"/>
    </row>
    <row r="27" spans="1:16" ht="15.75" thickBot="1" x14ac:dyDescent="0.3">
      <c r="A27" s="34" t="s">
        <v>53</v>
      </c>
      <c r="B27" s="60"/>
      <c r="C27" s="60" t="s">
        <v>54</v>
      </c>
      <c r="D27" s="19"/>
      <c r="E27" s="34" t="s">
        <v>55</v>
      </c>
      <c r="F27" s="61"/>
      <c r="G27" s="60" t="s">
        <v>56</v>
      </c>
      <c r="H27" s="19"/>
      <c r="I27" s="34" t="s">
        <v>38</v>
      </c>
      <c r="J27" s="61"/>
      <c r="K27" s="60" t="s">
        <v>57</v>
      </c>
      <c r="L27" s="33"/>
      <c r="M27" s="10"/>
      <c r="N27" s="10"/>
      <c r="O27" s="10"/>
      <c r="P27" s="10"/>
    </row>
    <row r="28" spans="1:1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spans="1:16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1:16" ht="18.75" x14ac:dyDescent="0.3">
      <c r="A31" s="62" t="s">
        <v>58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</row>
    <row r="32" spans="1:16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</row>
    <row r="33" spans="1:16" x14ac:dyDescent="0.25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</row>
    <row r="34" spans="1:16" x14ac:dyDescent="0.25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</row>
    <row r="35" spans="1:16" x14ac:dyDescent="0.2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</row>
    <row r="36" spans="1:16" x14ac:dyDescent="0.25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</row>
    <row r="37" spans="1:16" x14ac:dyDescent="0.25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</row>
    <row r="38" spans="1:16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spans="1:16" outlineLevel="1" x14ac:dyDescent="0.25">
      <c r="A39" s="9" t="s">
        <v>59</v>
      </c>
      <c r="B39" s="64" t="s">
        <v>60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1:16" outlineLevel="1" x14ac:dyDescent="0.25">
      <c r="A40" s="9" t="s">
        <v>61</v>
      </c>
      <c r="B40" s="65">
        <v>11</v>
      </c>
      <c r="C40" s="65">
        <v>23</v>
      </c>
      <c r="D40" s="65">
        <v>33</v>
      </c>
      <c r="E40" s="65">
        <v>36</v>
      </c>
      <c r="F40" s="65">
        <v>39</v>
      </c>
      <c r="G40" s="65">
        <v>40</v>
      </c>
      <c r="H40" s="65">
        <v>43</v>
      </c>
      <c r="I40" s="65">
        <v>44</v>
      </c>
      <c r="J40" s="65">
        <v>45</v>
      </c>
      <c r="K40" s="65">
        <v>46</v>
      </c>
      <c r="L40" s="10"/>
      <c r="M40" s="10"/>
      <c r="N40" s="10"/>
      <c r="O40" s="10"/>
      <c r="P40" s="10"/>
    </row>
    <row r="41" spans="1:16" ht="18.75" x14ac:dyDescent="0.3">
      <c r="A41" s="66" t="s">
        <v>62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</row>
    <row r="42" spans="1:16" x14ac:dyDescent="0.25">
      <c r="A42" s="67" t="s">
        <v>63</v>
      </c>
      <c r="B42" s="68" t="s">
        <v>64</v>
      </c>
      <c r="C42" s="68"/>
      <c r="D42" s="68"/>
      <c r="E42" s="68"/>
      <c r="F42" s="68"/>
      <c r="G42" s="69"/>
      <c r="H42" s="70" t="s">
        <v>65</v>
      </c>
      <c r="I42" s="71"/>
      <c r="J42" s="71"/>
      <c r="K42" s="72"/>
      <c r="L42" s="10"/>
      <c r="M42" s="10"/>
      <c r="N42" s="10"/>
      <c r="O42" s="10"/>
      <c r="P42" s="10"/>
    </row>
    <row r="43" spans="1:16" x14ac:dyDescent="0.25">
      <c r="A43" s="73"/>
      <c r="B43" s="74" t="s">
        <v>66</v>
      </c>
      <c r="C43" s="74" t="s">
        <v>67</v>
      </c>
      <c r="D43" s="74" t="s">
        <v>68</v>
      </c>
      <c r="E43" s="75" t="s">
        <v>69</v>
      </c>
      <c r="F43" s="74" t="s">
        <v>70</v>
      </c>
      <c r="G43" s="74" t="s">
        <v>71</v>
      </c>
      <c r="H43" s="76" t="s">
        <v>72</v>
      </c>
      <c r="I43" s="77" t="s">
        <v>73</v>
      </c>
      <c r="J43" s="77" t="s">
        <v>74</v>
      </c>
      <c r="K43" s="77" t="s">
        <v>75</v>
      </c>
      <c r="L43" s="78"/>
      <c r="M43" s="78"/>
      <c r="N43" s="78"/>
      <c r="O43" s="78"/>
      <c r="P43" s="78"/>
    </row>
    <row r="44" spans="1:16" x14ac:dyDescent="0.25">
      <c r="A44" s="79">
        <v>46138</v>
      </c>
      <c r="B44" s="80">
        <v>12554.583333333334</v>
      </c>
      <c r="C44" s="80">
        <v>5446.7500000000009</v>
      </c>
      <c r="D44" s="80">
        <v>0</v>
      </c>
      <c r="E44" s="81">
        <v>18001.333333333336</v>
      </c>
      <c r="F44" s="82">
        <v>18479.392857142862</v>
      </c>
      <c r="G44" s="82">
        <v>18827.615384615387</v>
      </c>
      <c r="H44" s="83">
        <v>15345.583333333336</v>
      </c>
      <c r="I44" s="84">
        <v>0.17306282480844107</v>
      </c>
      <c r="J44" s="84">
        <v>9.394337357506341E-2</v>
      </c>
      <c r="K44" s="84">
        <v>9.8266112096950728E-2</v>
      </c>
      <c r="L44" s="78"/>
      <c r="M44" s="78"/>
      <c r="N44" s="78"/>
      <c r="O44" s="78"/>
      <c r="P44" s="78"/>
    </row>
    <row r="45" spans="1:16" x14ac:dyDescent="0.25">
      <c r="A45" s="79">
        <v>46145</v>
      </c>
      <c r="B45" s="80">
        <v>12941.25</v>
      </c>
      <c r="C45" s="80">
        <v>6009.8750000000009</v>
      </c>
      <c r="D45" s="80">
        <v>0</v>
      </c>
      <c r="E45" s="81">
        <v>18951.125</v>
      </c>
      <c r="F45" s="82">
        <v>18576.005952380954</v>
      </c>
      <c r="G45" s="82">
        <v>18774.352564102566</v>
      </c>
      <c r="H45" s="83">
        <v>15342.125000000002</v>
      </c>
      <c r="I45" s="84">
        <v>0.23523468880614634</v>
      </c>
      <c r="J45" s="84">
        <v>0.10441981109873653</v>
      </c>
      <c r="K45" s="84">
        <v>0.10235224389243079</v>
      </c>
      <c r="L45" s="78"/>
      <c r="M45" s="78"/>
      <c r="N45" s="78"/>
      <c r="O45" s="78"/>
      <c r="P45" s="78"/>
    </row>
    <row r="46" spans="1:16" x14ac:dyDescent="0.25">
      <c r="A46" s="79">
        <v>46152</v>
      </c>
      <c r="B46" s="80">
        <v>11437.333333333334</v>
      </c>
      <c r="C46" s="80">
        <v>4935.041666666667</v>
      </c>
      <c r="D46" s="80">
        <v>0</v>
      </c>
      <c r="E46" s="81">
        <v>16372.375</v>
      </c>
      <c r="F46" s="82">
        <v>18296.172619047622</v>
      </c>
      <c r="G46" s="82">
        <v>18627.038461538461</v>
      </c>
      <c r="H46" s="83">
        <v>13100.875</v>
      </c>
      <c r="I46" s="84">
        <v>0.24971614491398475</v>
      </c>
      <c r="J46" s="84">
        <v>0.10982223387254603</v>
      </c>
      <c r="K46" s="84">
        <v>0.1127880567768843</v>
      </c>
      <c r="L46" s="78"/>
      <c r="M46" s="78"/>
      <c r="N46" s="78"/>
      <c r="O46" s="78"/>
      <c r="P46" s="78"/>
    </row>
    <row r="47" spans="1:16" x14ac:dyDescent="0.25">
      <c r="A47" s="79">
        <v>46159</v>
      </c>
      <c r="B47" s="80">
        <v>11485.941666666666</v>
      </c>
      <c r="C47" s="80">
        <v>5225.1333333333332</v>
      </c>
      <c r="D47" s="80">
        <v>0</v>
      </c>
      <c r="E47" s="81">
        <v>16711.074999999997</v>
      </c>
      <c r="F47" s="82">
        <v>17747.647619047621</v>
      </c>
      <c r="G47" s="82">
        <v>18173.749358974361</v>
      </c>
      <c r="H47" s="83">
        <v>16002.25</v>
      </c>
      <c r="I47" s="84">
        <v>4.4295333468730776E-2</v>
      </c>
      <c r="J47" s="84">
        <v>9.3891519419331562E-2</v>
      </c>
      <c r="K47" s="84">
        <v>0.11928901444465016</v>
      </c>
      <c r="L47" s="78"/>
      <c r="M47" s="78"/>
      <c r="N47" s="78"/>
      <c r="O47" s="78"/>
      <c r="P47" s="78"/>
    </row>
    <row r="48" spans="1:16" x14ac:dyDescent="0.25">
      <c r="A48" s="79">
        <v>46166</v>
      </c>
      <c r="B48" s="80">
        <v>10547.083333333334</v>
      </c>
      <c r="C48" s="80">
        <v>4958.291666666667</v>
      </c>
      <c r="D48" s="80">
        <v>0</v>
      </c>
      <c r="E48" s="81">
        <v>15505.375</v>
      </c>
      <c r="F48" s="82">
        <v>17456.266666666666</v>
      </c>
      <c r="G48" s="82">
        <v>17788.643589743591</v>
      </c>
      <c r="H48" s="83">
        <v>14734.708333333336</v>
      </c>
      <c r="I48" s="84">
        <v>5.2302811106429377E-2</v>
      </c>
      <c r="J48" s="84">
        <v>9.7736628056049976E-2</v>
      </c>
      <c r="K48" s="84">
        <v>0.11575728687595373</v>
      </c>
      <c r="L48" s="78"/>
      <c r="M48" s="78"/>
      <c r="N48" s="78"/>
      <c r="O48" s="78"/>
      <c r="P48" s="78"/>
    </row>
    <row r="49" spans="1:16" x14ac:dyDescent="0.25">
      <c r="A49" s="79">
        <v>46173</v>
      </c>
      <c r="B49" s="80">
        <v>11379.583333333334</v>
      </c>
      <c r="C49" s="80">
        <v>4944.625</v>
      </c>
      <c r="D49" s="80">
        <v>0</v>
      </c>
      <c r="E49" s="81">
        <v>16324.208333333334</v>
      </c>
      <c r="F49" s="82">
        <v>16963.290476190476</v>
      </c>
      <c r="G49" s="82">
        <v>17605.047435897435</v>
      </c>
      <c r="H49" s="83">
        <v>16810.291666666668</v>
      </c>
      <c r="I49" s="84">
        <v>-2.8915817938911466E-2</v>
      </c>
      <c r="J49" s="84">
        <v>7.5525491072237161E-2</v>
      </c>
      <c r="K49" s="84">
        <v>9.8182676072811281E-2</v>
      </c>
      <c r="L49" s="78"/>
      <c r="M49" s="78"/>
      <c r="N49" s="78"/>
      <c r="O49" s="78"/>
      <c r="P49" s="78"/>
    </row>
    <row r="50" spans="1:16" x14ac:dyDescent="0.25">
      <c r="A50" s="79">
        <v>46180</v>
      </c>
      <c r="B50" s="80">
        <v>10600</v>
      </c>
      <c r="C50" s="80">
        <v>4738.8333333333339</v>
      </c>
      <c r="D50" s="80">
        <v>0</v>
      </c>
      <c r="E50" s="81">
        <v>15338.833333333334</v>
      </c>
      <c r="F50" s="82">
        <v>16743.474999999999</v>
      </c>
      <c r="G50" s="82">
        <v>17581.441666666669</v>
      </c>
      <c r="H50" s="83">
        <v>14408.958333333336</v>
      </c>
      <c r="I50" s="84">
        <v>6.4534505443661933E-2</v>
      </c>
      <c r="J50" s="84">
        <v>0.10836971876077391</v>
      </c>
      <c r="K50" s="84">
        <v>9.5435739171173609E-2</v>
      </c>
      <c r="L50" s="78"/>
      <c r="M50" s="78"/>
      <c r="N50" s="78"/>
      <c r="O50" s="78"/>
      <c r="P50" s="78"/>
    </row>
    <row r="51" spans="1:16" x14ac:dyDescent="0.25">
      <c r="A51" s="79">
        <v>46187</v>
      </c>
      <c r="B51" s="80">
        <v>10288.75</v>
      </c>
      <c r="C51" s="80">
        <v>4414.17</v>
      </c>
      <c r="D51" s="80">
        <v>0</v>
      </c>
      <c r="E51" s="81">
        <v>14702.92</v>
      </c>
      <c r="F51" s="82">
        <v>16272.273095238093</v>
      </c>
      <c r="G51" s="82">
        <v>17306.679102564107</v>
      </c>
      <c r="H51" s="83">
        <v>16799.316666666666</v>
      </c>
      <c r="I51" s="84">
        <v>-0.12479059168081236</v>
      </c>
      <c r="J51" s="84">
        <v>6.2569766390597664E-2</v>
      </c>
      <c r="K51" s="84">
        <v>7.3439760381495967E-2</v>
      </c>
      <c r="L51" s="78"/>
      <c r="M51" s="78"/>
      <c r="N51" s="78"/>
      <c r="O51" s="78"/>
      <c r="P51" s="78"/>
    </row>
    <row r="52" spans="1:16" x14ac:dyDescent="0.25">
      <c r="A52" s="79">
        <v>46194</v>
      </c>
      <c r="B52" s="80">
        <v>12448.33</v>
      </c>
      <c r="C52" s="80">
        <v>5812.29</v>
      </c>
      <c r="D52" s="80">
        <v>0</v>
      </c>
      <c r="E52" s="81">
        <v>18260.62</v>
      </c>
      <c r="F52" s="82">
        <v>16173.629523809523</v>
      </c>
      <c r="G52" s="82">
        <v>17301.249230769234</v>
      </c>
      <c r="H52" s="83">
        <v>11365.583333333334</v>
      </c>
      <c r="I52" s="84">
        <v>0.60665928570904837</v>
      </c>
      <c r="J52" s="84">
        <v>9.6814874221721747E-2</v>
      </c>
      <c r="K52" s="84">
        <v>9.4371840522431888E-2</v>
      </c>
      <c r="L52" s="78"/>
      <c r="M52" s="78"/>
      <c r="N52" s="78"/>
      <c r="O52" s="78"/>
      <c r="P52" s="78"/>
    </row>
    <row r="53" spans="1:16" x14ac:dyDescent="0.25">
      <c r="A53" s="79">
        <v>46201</v>
      </c>
      <c r="B53" s="80">
        <v>9080</v>
      </c>
      <c r="C53" s="80">
        <v>4338.21</v>
      </c>
      <c r="D53" s="80">
        <v>0</v>
      </c>
      <c r="E53" s="81">
        <v>13418.21</v>
      </c>
      <c r="F53" s="82">
        <v>15751.605952380953</v>
      </c>
      <c r="G53" s="82">
        <v>16752.59230769231</v>
      </c>
      <c r="H53" s="83">
        <v>16454.461666666666</v>
      </c>
      <c r="I53" s="84">
        <v>-0.18452452156593396</v>
      </c>
      <c r="J53" s="84">
        <v>3.4582706587135088E-2</v>
      </c>
      <c r="K53" s="84">
        <v>6.6816358702848064E-2</v>
      </c>
      <c r="L53" s="78"/>
      <c r="M53" s="78"/>
      <c r="N53" s="78"/>
      <c r="O53" s="78"/>
      <c r="P53" s="78"/>
    </row>
    <row r="54" spans="1:16" x14ac:dyDescent="0.25">
      <c r="A54" s="79">
        <v>46208</v>
      </c>
      <c r="B54" s="80">
        <v>10588.75</v>
      </c>
      <c r="C54" s="80">
        <v>4248.75</v>
      </c>
      <c r="D54" s="80">
        <v>0</v>
      </c>
      <c r="E54" s="81">
        <v>14837.5</v>
      </c>
      <c r="F54" s="82">
        <v>15483.95238095238</v>
      </c>
      <c r="G54" s="82">
        <v>16544.319871794873</v>
      </c>
      <c r="H54" s="83">
        <v>15324.25</v>
      </c>
      <c r="I54" s="84">
        <v>-3.1763381568429123E-2</v>
      </c>
      <c r="J54" s="84">
        <v>2.3514200247150618E-2</v>
      </c>
      <c r="K54" s="84">
        <v>6.2223891801763319E-2</v>
      </c>
      <c r="L54" s="78"/>
      <c r="M54" s="78"/>
      <c r="N54" s="78"/>
      <c r="O54" s="78"/>
      <c r="P54" s="78"/>
    </row>
    <row r="55" spans="1:16" x14ac:dyDescent="0.25">
      <c r="A55" s="79">
        <v>46215</v>
      </c>
      <c r="B55" s="80">
        <v>8747.92</v>
      </c>
      <c r="C55" s="80">
        <v>4104.46</v>
      </c>
      <c r="D55" s="80">
        <v>0</v>
      </c>
      <c r="E55" s="81">
        <v>12852.380000000001</v>
      </c>
      <c r="F55" s="82">
        <v>15104.953095238094</v>
      </c>
      <c r="G55" s="82">
        <v>16011.807435897437</v>
      </c>
      <c r="H55" s="83">
        <v>14710.941666666669</v>
      </c>
      <c r="I55" s="84">
        <v>-0.12633872859940429</v>
      </c>
      <c r="J55" s="84">
        <v>-1.3141274072173035E-3</v>
      </c>
      <c r="K55" s="84">
        <v>4.3542375560372361E-2</v>
      </c>
      <c r="L55" s="78"/>
      <c r="M55" s="78"/>
      <c r="N55" s="78"/>
      <c r="O55" s="78"/>
      <c r="P55" s="78"/>
    </row>
    <row r="56" spans="1:16" x14ac:dyDescent="0.25">
      <c r="A56" s="79">
        <v>46222</v>
      </c>
      <c r="B56" s="80">
        <v>11790.42</v>
      </c>
      <c r="C56" s="80">
        <v>5411.13</v>
      </c>
      <c r="D56" s="80">
        <v>0</v>
      </c>
      <c r="E56" s="81">
        <v>17201.55</v>
      </c>
      <c r="F56" s="82">
        <v>15230.287619047622</v>
      </c>
      <c r="G56" s="82">
        <v>16036.731153846153</v>
      </c>
      <c r="H56" s="83">
        <v>15873.875</v>
      </c>
      <c r="I56" s="84">
        <v>8.3638998039231083E-2</v>
      </c>
      <c r="J56" s="84">
        <v>1.5958341634579914E-2</v>
      </c>
      <c r="K56" s="84">
        <v>6.2180082438143845E-2</v>
      </c>
      <c r="L56" s="78"/>
      <c r="M56" s="78"/>
      <c r="N56" s="78"/>
      <c r="O56" s="78"/>
      <c r="P56" s="78"/>
    </row>
    <row r="57" spans="1:16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78"/>
      <c r="P57" s="78"/>
    </row>
    <row r="58" spans="1:16" outlineLevel="1" x14ac:dyDescent="0.25">
      <c r="A58" s="9" t="s">
        <v>59</v>
      </c>
      <c r="B58" s="64" t="s">
        <v>76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78"/>
    </row>
    <row r="59" spans="1:16" outlineLevel="1" x14ac:dyDescent="0.25">
      <c r="A59" s="9" t="s">
        <v>61</v>
      </c>
      <c r="B59" s="65">
        <v>40</v>
      </c>
      <c r="C59" s="65">
        <v>43</v>
      </c>
      <c r="D59" s="65">
        <v>49</v>
      </c>
      <c r="E59" s="65">
        <v>50</v>
      </c>
      <c r="F59" s="65">
        <v>53</v>
      </c>
      <c r="G59" s="10">
        <v>59</v>
      </c>
      <c r="H59" s="65">
        <v>60</v>
      </c>
      <c r="I59" s="65">
        <v>63</v>
      </c>
      <c r="J59" s="65">
        <v>64</v>
      </c>
      <c r="K59" s="65">
        <v>67</v>
      </c>
      <c r="L59" s="65">
        <v>68</v>
      </c>
      <c r="M59" s="65">
        <v>69</v>
      </c>
      <c r="N59" s="65">
        <v>70</v>
      </c>
      <c r="O59" s="10"/>
      <c r="P59" s="10"/>
    </row>
    <row r="60" spans="1:16" ht="18.75" x14ac:dyDescent="0.3">
      <c r="A60" s="85" t="s">
        <v>77</v>
      </c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</row>
    <row r="61" spans="1:16" x14ac:dyDescent="0.25">
      <c r="A61" s="67" t="s">
        <v>63</v>
      </c>
      <c r="B61" s="86" t="s">
        <v>78</v>
      </c>
      <c r="C61" s="87"/>
      <c r="D61" s="87"/>
      <c r="E61" s="88" t="s">
        <v>79</v>
      </c>
      <c r="F61" s="88"/>
      <c r="G61" s="88"/>
      <c r="H61" s="89" t="s">
        <v>80</v>
      </c>
      <c r="I61" s="89"/>
      <c r="J61" s="90"/>
      <c r="K61" s="91" t="s">
        <v>65</v>
      </c>
      <c r="L61" s="92"/>
      <c r="M61" s="92"/>
      <c r="N61" s="92"/>
      <c r="O61" s="10"/>
      <c r="P61" s="10"/>
    </row>
    <row r="62" spans="1:16" ht="15.75" customHeight="1" x14ac:dyDescent="0.25">
      <c r="A62" s="73"/>
      <c r="B62" s="93" t="s">
        <v>81</v>
      </c>
      <c r="C62" s="93" t="s">
        <v>82</v>
      </c>
      <c r="D62" s="94" t="s">
        <v>83</v>
      </c>
      <c r="E62" s="95" t="s">
        <v>84</v>
      </c>
      <c r="F62" s="95" t="s">
        <v>85</v>
      </c>
      <c r="G62" s="94" t="s">
        <v>83</v>
      </c>
      <c r="H62" s="75" t="s">
        <v>23</v>
      </c>
      <c r="I62" s="75" t="s">
        <v>86</v>
      </c>
      <c r="J62" s="75" t="s">
        <v>87</v>
      </c>
      <c r="K62" s="76" t="s">
        <v>88</v>
      </c>
      <c r="L62" s="77" t="s">
        <v>73</v>
      </c>
      <c r="M62" s="77" t="s">
        <v>74</v>
      </c>
      <c r="N62" s="77" t="s">
        <v>75</v>
      </c>
      <c r="O62" s="10"/>
      <c r="P62" s="10"/>
    </row>
    <row r="63" spans="1:16" x14ac:dyDescent="0.25">
      <c r="A63" s="79">
        <v>46138</v>
      </c>
      <c r="B63" s="96">
        <v>235.25</v>
      </c>
      <c r="C63" s="97">
        <v>222.19230769230768</v>
      </c>
      <c r="D63" s="84">
        <v>0.35530791788856303</v>
      </c>
      <c r="E63" s="96">
        <v>325</v>
      </c>
      <c r="F63" s="97">
        <v>320.76923076923077</v>
      </c>
      <c r="G63" s="84">
        <v>0.47872340425531917</v>
      </c>
      <c r="H63" s="98">
        <v>560.25</v>
      </c>
      <c r="I63" s="97">
        <v>547.28571428571433</v>
      </c>
      <c r="J63" s="97">
        <v>542.96153846153845</v>
      </c>
      <c r="K63" s="99">
        <v>361</v>
      </c>
      <c r="L63" s="84">
        <v>0.55193905817174516</v>
      </c>
      <c r="M63" s="84">
        <v>0.42350209010682766</v>
      </c>
      <c r="N63" s="84">
        <v>0.42559959606160058</v>
      </c>
      <c r="O63" s="10"/>
      <c r="P63" s="10"/>
    </row>
    <row r="64" spans="1:16" x14ac:dyDescent="0.25">
      <c r="A64" s="79">
        <v>46145</v>
      </c>
      <c r="B64" s="96">
        <v>171</v>
      </c>
      <c r="C64" s="97">
        <v>220.80769230769232</v>
      </c>
      <c r="D64" s="84">
        <v>0.36853396901072705</v>
      </c>
      <c r="E64" s="96">
        <v>336</v>
      </c>
      <c r="F64" s="97">
        <v>318.30769230769232</v>
      </c>
      <c r="G64" s="84">
        <v>0.46219081272084805</v>
      </c>
      <c r="H64" s="98">
        <v>507</v>
      </c>
      <c r="I64" s="97">
        <v>546</v>
      </c>
      <c r="J64" s="97">
        <v>539.11538461538464</v>
      </c>
      <c r="K64" s="99">
        <v>356.25</v>
      </c>
      <c r="L64" s="84">
        <v>0.42315789473684212</v>
      </c>
      <c r="M64" s="84">
        <v>0.41490050902360021</v>
      </c>
      <c r="N64" s="84">
        <v>0.42232369355657029</v>
      </c>
      <c r="O64" s="10"/>
      <c r="P64" s="10"/>
    </row>
    <row r="65" spans="1:16" x14ac:dyDescent="0.25">
      <c r="A65" s="79">
        <v>46152</v>
      </c>
      <c r="B65" s="96">
        <v>145.25</v>
      </c>
      <c r="C65" s="97">
        <v>215.63461538461539</v>
      </c>
      <c r="D65" s="84">
        <v>0.35717743887678527</v>
      </c>
      <c r="E65" s="96">
        <v>265</v>
      </c>
      <c r="F65" s="97">
        <v>314.76923076923077</v>
      </c>
      <c r="G65" s="84">
        <v>0.45467472449342339</v>
      </c>
      <c r="H65" s="98">
        <v>410.25</v>
      </c>
      <c r="I65" s="97">
        <v>525.39285714285711</v>
      </c>
      <c r="J65" s="97">
        <v>530.40384615384619</v>
      </c>
      <c r="K65" s="99">
        <v>328</v>
      </c>
      <c r="L65" s="84">
        <v>0.25076219512195119</v>
      </c>
      <c r="M65" s="84">
        <v>0.37730549574009925</v>
      </c>
      <c r="N65" s="84">
        <v>0.41339551091524035</v>
      </c>
      <c r="O65" s="10"/>
      <c r="P65" s="10"/>
    </row>
    <row r="66" spans="1:16" x14ac:dyDescent="0.25">
      <c r="A66" s="79">
        <v>46159</v>
      </c>
      <c r="B66" s="96">
        <v>129</v>
      </c>
      <c r="C66" s="97">
        <v>213.78846153846155</v>
      </c>
      <c r="D66" s="84">
        <v>0.38374408762758278</v>
      </c>
      <c r="E66" s="96">
        <v>262.5</v>
      </c>
      <c r="F66" s="97">
        <v>310.19230769230768</v>
      </c>
      <c r="G66" s="84">
        <v>0.43709907341411264</v>
      </c>
      <c r="H66" s="98">
        <v>391.5</v>
      </c>
      <c r="I66" s="97">
        <v>500.60714285714283</v>
      </c>
      <c r="J66" s="97">
        <v>523.98076923076928</v>
      </c>
      <c r="K66" s="99">
        <v>367</v>
      </c>
      <c r="L66" s="84">
        <v>6.67574931880109E-2</v>
      </c>
      <c r="M66" s="84">
        <v>0.33431699190861497</v>
      </c>
      <c r="N66" s="84">
        <v>0.41484058573060545</v>
      </c>
      <c r="O66" s="10"/>
      <c r="P66" s="10"/>
    </row>
    <row r="67" spans="1:16" x14ac:dyDescent="0.25">
      <c r="A67" s="79">
        <v>46166</v>
      </c>
      <c r="B67" s="96">
        <v>121.75</v>
      </c>
      <c r="C67" s="97">
        <v>204.11538461538461</v>
      </c>
      <c r="D67" s="84">
        <v>0.35417198264863486</v>
      </c>
      <c r="E67" s="96">
        <v>243</v>
      </c>
      <c r="F67" s="97">
        <v>298.80769230769232</v>
      </c>
      <c r="G67" s="84">
        <v>0.39030064423765209</v>
      </c>
      <c r="H67" s="98">
        <v>364.75</v>
      </c>
      <c r="I67" s="97">
        <v>475.78571428571428</v>
      </c>
      <c r="J67" s="97">
        <v>502.92307692307691</v>
      </c>
      <c r="K67" s="99">
        <v>342</v>
      </c>
      <c r="L67" s="84">
        <v>6.6520467836257313E-2</v>
      </c>
      <c r="M67" s="84">
        <v>0.28652824722356351</v>
      </c>
      <c r="N67" s="84">
        <v>0.3754075944041233</v>
      </c>
      <c r="O67" s="10"/>
      <c r="P67" s="10"/>
    </row>
    <row r="68" spans="1:16" x14ac:dyDescent="0.25">
      <c r="A68" s="79">
        <v>46173</v>
      </c>
      <c r="B68" s="96">
        <v>147</v>
      </c>
      <c r="C68" s="97">
        <v>195.76923076923077</v>
      </c>
      <c r="D68" s="84">
        <v>0.32776835789748271</v>
      </c>
      <c r="E68" s="96">
        <v>242</v>
      </c>
      <c r="F68" s="97">
        <v>293.38461538461536</v>
      </c>
      <c r="G68" s="84">
        <v>0.32522585128561499</v>
      </c>
      <c r="H68" s="98">
        <v>389</v>
      </c>
      <c r="I68" s="97">
        <v>446.60714285714283</v>
      </c>
      <c r="J68" s="97">
        <v>489.15384615384613</v>
      </c>
      <c r="K68" s="99">
        <v>386.25</v>
      </c>
      <c r="L68" s="84">
        <v>7.119741100323625E-3</v>
      </c>
      <c r="M68" s="84">
        <v>0.21738707165109034</v>
      </c>
      <c r="N68" s="84">
        <v>0.3262422441211742</v>
      </c>
      <c r="O68" s="10"/>
      <c r="P68" s="10"/>
    </row>
    <row r="69" spans="1:16" x14ac:dyDescent="0.25">
      <c r="A69" s="79">
        <v>46180</v>
      </c>
      <c r="B69" s="96">
        <v>149</v>
      </c>
      <c r="C69" s="97">
        <v>189.92307692307693</v>
      </c>
      <c r="D69" s="84">
        <v>0.30998806207719859</v>
      </c>
      <c r="E69" s="96">
        <v>226</v>
      </c>
      <c r="F69" s="97">
        <v>292.26923076923077</v>
      </c>
      <c r="G69" s="84">
        <v>0.29322668481960518</v>
      </c>
      <c r="H69" s="98">
        <v>375</v>
      </c>
      <c r="I69" s="97">
        <v>428.25</v>
      </c>
      <c r="J69" s="97">
        <v>482.19230769230768</v>
      </c>
      <c r="K69" s="99">
        <v>352</v>
      </c>
      <c r="L69" s="84">
        <v>6.5340909090909088E-2</v>
      </c>
      <c r="M69" s="84">
        <v>0.20270812437311936</v>
      </c>
      <c r="N69" s="84">
        <v>0.29977709812866105</v>
      </c>
      <c r="O69" s="10"/>
      <c r="P69" s="10"/>
    </row>
    <row r="70" spans="1:16" x14ac:dyDescent="0.25">
      <c r="A70" s="79">
        <v>46187</v>
      </c>
      <c r="B70" s="96">
        <v>124</v>
      </c>
      <c r="C70" s="97">
        <v>180.30769230769232</v>
      </c>
      <c r="D70" s="84">
        <v>0.25683646112600539</v>
      </c>
      <c r="E70" s="96">
        <v>226</v>
      </c>
      <c r="F70" s="97">
        <v>289.11538461538464</v>
      </c>
      <c r="G70" s="84">
        <v>0.24330135626860735</v>
      </c>
      <c r="H70" s="98">
        <v>350</v>
      </c>
      <c r="I70" s="97">
        <v>398.21428571428572</v>
      </c>
      <c r="J70" s="97">
        <v>469.42307692307691</v>
      </c>
      <c r="K70" s="99">
        <v>411.5</v>
      </c>
      <c r="L70" s="84">
        <v>-0.14945321992709598</v>
      </c>
      <c r="M70" s="84">
        <v>9.6146283916633893E-2</v>
      </c>
      <c r="N70" s="84">
        <v>0.24846563011456629</v>
      </c>
      <c r="O70" s="10"/>
      <c r="P70" s="10"/>
    </row>
    <row r="71" spans="1:16" x14ac:dyDescent="0.25">
      <c r="A71" s="79">
        <v>46194</v>
      </c>
      <c r="B71" s="96">
        <v>163</v>
      </c>
      <c r="C71" s="97">
        <v>175.34615384615384</v>
      </c>
      <c r="D71" s="84">
        <v>0.25661521499448731</v>
      </c>
      <c r="E71" s="96">
        <v>267</v>
      </c>
      <c r="F71" s="97">
        <v>284.5</v>
      </c>
      <c r="G71" s="84">
        <v>0.22264462809917354</v>
      </c>
      <c r="H71" s="98">
        <v>430</v>
      </c>
      <c r="I71" s="97">
        <v>387.21428571428572</v>
      </c>
      <c r="J71" s="97">
        <v>459.84615384615387</v>
      </c>
      <c r="K71" s="99">
        <v>310</v>
      </c>
      <c r="L71" s="84">
        <v>0.38709677419354838</v>
      </c>
      <c r="M71" s="84">
        <v>8.5611294683088021E-2</v>
      </c>
      <c r="N71" s="84">
        <v>0.23537921058069849</v>
      </c>
      <c r="O71" s="10"/>
      <c r="P71" s="10"/>
    </row>
    <row r="72" spans="1:16" x14ac:dyDescent="0.25">
      <c r="A72" s="79">
        <v>46201</v>
      </c>
      <c r="B72" s="96">
        <v>85</v>
      </c>
      <c r="C72" s="97">
        <v>167.26923076923077</v>
      </c>
      <c r="D72" s="84">
        <v>0.2429265504429837</v>
      </c>
      <c r="E72" s="96">
        <v>228</v>
      </c>
      <c r="F72" s="97">
        <v>273.19230769230768</v>
      </c>
      <c r="G72" s="84">
        <v>0.14141089506668808</v>
      </c>
      <c r="H72" s="98">
        <v>313</v>
      </c>
      <c r="I72" s="97">
        <v>373.32142857142856</v>
      </c>
      <c r="J72" s="97">
        <v>440.46153846153845</v>
      </c>
      <c r="K72" s="99">
        <v>433</v>
      </c>
      <c r="L72" s="84">
        <v>-0.27713625866050806</v>
      </c>
      <c r="M72" s="84">
        <v>4.4201018545209957E-3</v>
      </c>
      <c r="N72" s="84">
        <v>0.17794692450113145</v>
      </c>
      <c r="O72" s="10"/>
      <c r="P72" s="10"/>
    </row>
    <row r="73" spans="1:16" x14ac:dyDescent="0.25">
      <c r="A73" s="79">
        <v>46208</v>
      </c>
      <c r="B73" s="96">
        <v>103</v>
      </c>
      <c r="C73" s="97">
        <v>156.69230769230768</v>
      </c>
      <c r="D73" s="84">
        <v>0.16733524355300861</v>
      </c>
      <c r="E73" s="96">
        <v>269</v>
      </c>
      <c r="F73" s="97">
        <v>270.96153846153845</v>
      </c>
      <c r="G73" s="84">
        <v>0.12235144177154691</v>
      </c>
      <c r="H73" s="98">
        <v>372</v>
      </c>
      <c r="I73" s="97">
        <v>370.53571428571428</v>
      </c>
      <c r="J73" s="97">
        <v>427.65384615384613</v>
      </c>
      <c r="K73" s="99">
        <v>402</v>
      </c>
      <c r="L73" s="84">
        <v>-7.4626865671641784E-2</v>
      </c>
      <c r="M73" s="84">
        <v>-1.6307954868683038E-2</v>
      </c>
      <c r="N73" s="84">
        <v>0.13842530971639194</v>
      </c>
      <c r="O73" s="10"/>
      <c r="P73" s="10"/>
    </row>
    <row r="74" spans="1:16" x14ac:dyDescent="0.25">
      <c r="A74" s="79">
        <v>46215</v>
      </c>
      <c r="B74" s="96">
        <v>92</v>
      </c>
      <c r="C74" s="97">
        <v>145.51923076923077</v>
      </c>
      <c r="D74" s="84">
        <v>8.8463751438434976E-2</v>
      </c>
      <c r="E74" s="96">
        <v>227</v>
      </c>
      <c r="F74" s="97">
        <v>261.03846153846155</v>
      </c>
      <c r="G74" s="84">
        <v>7.5083161729763981E-2</v>
      </c>
      <c r="H74" s="98">
        <v>319</v>
      </c>
      <c r="I74" s="97">
        <v>364</v>
      </c>
      <c r="J74" s="97">
        <v>406.55769230769232</v>
      </c>
      <c r="K74" s="99">
        <v>418</v>
      </c>
      <c r="L74" s="84">
        <v>-0.23684210526315788</v>
      </c>
      <c r="M74" s="84">
        <v>-6.0731729794488987E-2</v>
      </c>
      <c r="N74" s="84">
        <v>7.9834508121360712E-2</v>
      </c>
      <c r="O74" s="10"/>
      <c r="P74" s="10"/>
    </row>
    <row r="75" spans="1:16" x14ac:dyDescent="0.25">
      <c r="A75" s="79">
        <v>46222</v>
      </c>
      <c r="B75" s="96">
        <v>153</v>
      </c>
      <c r="C75" s="97">
        <v>139.86538461538461</v>
      </c>
      <c r="D75" s="84">
        <v>6.830199764982374E-2</v>
      </c>
      <c r="E75" s="96">
        <v>252</v>
      </c>
      <c r="F75" s="97">
        <v>259.11538461538464</v>
      </c>
      <c r="G75" s="84">
        <v>4.8397136632430747E-2</v>
      </c>
      <c r="H75" s="98">
        <v>405</v>
      </c>
      <c r="I75" s="97">
        <v>366.28571428571428</v>
      </c>
      <c r="J75" s="97">
        <v>398.98076923076923</v>
      </c>
      <c r="K75" s="99">
        <v>448</v>
      </c>
      <c r="L75" s="84">
        <v>-9.5982142857142863E-2</v>
      </c>
      <c r="M75" s="84">
        <v>-7.5869526040728053E-2</v>
      </c>
      <c r="N75" s="84">
        <v>5.5289928789420142E-2</v>
      </c>
      <c r="O75" s="10"/>
      <c r="P75" s="10"/>
    </row>
    <row r="76" spans="1:16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spans="1:16" outlineLevel="1" x14ac:dyDescent="0.25">
      <c r="A77" s="9" t="s">
        <v>59</v>
      </c>
      <c r="B77" s="64" t="s">
        <v>76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78"/>
    </row>
    <row r="78" spans="1:16" outlineLevel="1" x14ac:dyDescent="0.25">
      <c r="A78" s="9" t="s">
        <v>61</v>
      </c>
      <c r="B78" s="65">
        <v>2</v>
      </c>
      <c r="C78" s="65">
        <v>3</v>
      </c>
      <c r="D78" s="65">
        <v>4</v>
      </c>
      <c r="E78" s="65">
        <v>5</v>
      </c>
      <c r="F78" s="65">
        <v>7</v>
      </c>
      <c r="G78" s="65">
        <v>8</v>
      </c>
      <c r="H78" s="65">
        <v>10</v>
      </c>
      <c r="I78" s="65">
        <v>12</v>
      </c>
      <c r="J78" s="65">
        <v>13</v>
      </c>
      <c r="K78" s="65" t="s">
        <v>89</v>
      </c>
      <c r="L78" s="65" t="s">
        <v>90</v>
      </c>
      <c r="M78" s="10"/>
      <c r="N78" s="10"/>
      <c r="O78" s="10"/>
      <c r="P78" s="10"/>
    </row>
    <row r="79" spans="1:16" ht="18.75" x14ac:dyDescent="0.3">
      <c r="A79" s="66" t="s">
        <v>91</v>
      </c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</row>
    <row r="80" spans="1:16" ht="27" x14ac:dyDescent="0.25">
      <c r="A80" s="67" t="s">
        <v>63</v>
      </c>
      <c r="B80" s="100" t="s">
        <v>92</v>
      </c>
      <c r="C80" s="100"/>
      <c r="D80" s="100"/>
      <c r="E80" s="100"/>
      <c r="F80" s="101" t="s">
        <v>93</v>
      </c>
      <c r="G80" s="102"/>
      <c r="H80" s="103" t="s">
        <v>94</v>
      </c>
      <c r="I80" s="104" t="s">
        <v>95</v>
      </c>
      <c r="J80" s="105"/>
      <c r="K80" s="106" t="s">
        <v>96</v>
      </c>
      <c r="L80" s="103" t="s">
        <v>97</v>
      </c>
      <c r="M80" s="10"/>
      <c r="N80" s="10"/>
      <c r="O80" s="10"/>
      <c r="P80" s="10"/>
    </row>
    <row r="81" spans="1:16" ht="16.5" customHeight="1" x14ac:dyDescent="0.25">
      <c r="A81" s="73"/>
      <c r="B81" s="107" t="s">
        <v>98</v>
      </c>
      <c r="C81" s="107" t="s">
        <v>99</v>
      </c>
      <c r="D81" s="107" t="s">
        <v>100</v>
      </c>
      <c r="E81" s="107" t="s">
        <v>101</v>
      </c>
      <c r="F81" s="108" t="s">
        <v>102</v>
      </c>
      <c r="G81" s="108" t="s">
        <v>103</v>
      </c>
      <c r="H81" s="109" t="s">
        <v>104</v>
      </c>
      <c r="I81" s="108" t="s">
        <v>102</v>
      </c>
      <c r="J81" s="108" t="s">
        <v>103</v>
      </c>
      <c r="K81" s="109" t="s">
        <v>104</v>
      </c>
      <c r="L81" s="109" t="s">
        <v>104</v>
      </c>
      <c r="M81" s="10"/>
      <c r="N81" s="10"/>
      <c r="O81" s="10"/>
      <c r="P81" s="10"/>
    </row>
    <row r="82" spans="1:16" x14ac:dyDescent="0.25">
      <c r="A82" s="79">
        <v>46138</v>
      </c>
      <c r="B82" s="110">
        <v>84</v>
      </c>
      <c r="C82" s="111">
        <v>163</v>
      </c>
      <c r="D82" s="110">
        <v>51</v>
      </c>
      <c r="E82" s="110">
        <v>41</v>
      </c>
      <c r="F82" s="112">
        <v>17</v>
      </c>
      <c r="G82" s="112">
        <v>53</v>
      </c>
      <c r="H82" s="113">
        <v>2</v>
      </c>
      <c r="I82" s="114">
        <v>1</v>
      </c>
      <c r="J82" s="114">
        <v>0</v>
      </c>
      <c r="K82" s="115">
        <v>0</v>
      </c>
      <c r="L82" s="113">
        <v>0</v>
      </c>
      <c r="M82" s="10"/>
      <c r="N82" s="10"/>
      <c r="O82" s="10"/>
      <c r="P82" s="10"/>
    </row>
    <row r="83" spans="1:16" x14ac:dyDescent="0.25">
      <c r="A83" s="79">
        <v>46145</v>
      </c>
      <c r="B83" s="110">
        <v>76</v>
      </c>
      <c r="C83" s="111">
        <v>124</v>
      </c>
      <c r="D83" s="110">
        <v>35</v>
      </c>
      <c r="E83" s="110">
        <v>40</v>
      </c>
      <c r="F83" s="112">
        <v>10</v>
      </c>
      <c r="G83" s="112">
        <v>32</v>
      </c>
      <c r="H83" s="113">
        <v>4</v>
      </c>
      <c r="I83" s="114">
        <v>3</v>
      </c>
      <c r="J83" s="114">
        <v>1</v>
      </c>
      <c r="K83" s="115">
        <v>0</v>
      </c>
      <c r="L83" s="113">
        <v>0</v>
      </c>
      <c r="M83" s="10"/>
      <c r="N83" s="10"/>
      <c r="O83" s="10"/>
      <c r="P83" s="10"/>
    </row>
    <row r="84" spans="1:16" x14ac:dyDescent="0.25">
      <c r="A84" s="79">
        <v>46152</v>
      </c>
      <c r="B84" s="110">
        <v>68</v>
      </c>
      <c r="C84" s="111">
        <v>89</v>
      </c>
      <c r="D84" s="110">
        <v>41</v>
      </c>
      <c r="E84" s="110">
        <v>34</v>
      </c>
      <c r="F84" s="112">
        <v>10</v>
      </c>
      <c r="G84" s="112">
        <v>36</v>
      </c>
      <c r="H84" s="113">
        <v>10</v>
      </c>
      <c r="I84" s="114">
        <v>1</v>
      </c>
      <c r="J84" s="114">
        <v>0</v>
      </c>
      <c r="K84" s="115">
        <v>0</v>
      </c>
      <c r="L84" s="113">
        <v>0</v>
      </c>
      <c r="M84" s="10"/>
      <c r="N84" s="10"/>
      <c r="O84" s="10"/>
      <c r="P84" s="10"/>
    </row>
    <row r="85" spans="1:16" x14ac:dyDescent="0.25">
      <c r="A85" s="79">
        <v>46159</v>
      </c>
      <c r="B85" s="110">
        <v>24</v>
      </c>
      <c r="C85" s="111">
        <v>89</v>
      </c>
      <c r="D85" s="110">
        <v>50</v>
      </c>
      <c r="E85" s="110">
        <v>30</v>
      </c>
      <c r="F85" s="112">
        <v>10</v>
      </c>
      <c r="G85" s="112">
        <v>23</v>
      </c>
      <c r="H85" s="113">
        <v>6</v>
      </c>
      <c r="I85" s="114">
        <v>4</v>
      </c>
      <c r="J85" s="114">
        <v>0</v>
      </c>
      <c r="K85" s="115">
        <v>0</v>
      </c>
      <c r="L85" s="113">
        <v>0</v>
      </c>
      <c r="M85" s="10"/>
      <c r="N85" s="10"/>
      <c r="O85" s="10"/>
      <c r="P85" s="10"/>
    </row>
    <row r="86" spans="1:16" x14ac:dyDescent="0.25">
      <c r="A86" s="79">
        <v>46166</v>
      </c>
      <c r="B86" s="110">
        <v>39</v>
      </c>
      <c r="C86" s="111">
        <v>89</v>
      </c>
      <c r="D86" s="110">
        <v>26</v>
      </c>
      <c r="E86" s="110">
        <v>26</v>
      </c>
      <c r="F86" s="112">
        <v>12</v>
      </c>
      <c r="G86" s="112">
        <v>19</v>
      </c>
      <c r="H86" s="113">
        <v>0</v>
      </c>
      <c r="I86" s="114">
        <v>5</v>
      </c>
      <c r="J86" s="114">
        <v>2</v>
      </c>
      <c r="K86" s="115">
        <v>0</v>
      </c>
      <c r="L86" s="113">
        <v>0</v>
      </c>
      <c r="M86" s="10"/>
      <c r="N86" s="10"/>
      <c r="O86" s="10"/>
      <c r="P86" s="10"/>
    </row>
    <row r="87" spans="1:16" x14ac:dyDescent="0.25">
      <c r="A87" s="79">
        <v>46173</v>
      </c>
      <c r="B87" s="110">
        <v>52</v>
      </c>
      <c r="C87" s="111">
        <v>96</v>
      </c>
      <c r="D87" s="110">
        <v>60</v>
      </c>
      <c r="E87" s="110">
        <v>32</v>
      </c>
      <c r="F87" s="112">
        <v>10</v>
      </c>
      <c r="G87" s="112">
        <v>28</v>
      </c>
      <c r="H87" s="113">
        <v>12</v>
      </c>
      <c r="I87" s="114">
        <v>2</v>
      </c>
      <c r="J87" s="114">
        <v>2</v>
      </c>
      <c r="K87" s="115">
        <v>0</v>
      </c>
      <c r="L87" s="113">
        <v>0</v>
      </c>
      <c r="M87" s="10"/>
      <c r="N87" s="10"/>
      <c r="O87" s="10"/>
      <c r="P87" s="10"/>
    </row>
    <row r="88" spans="1:16" x14ac:dyDescent="0.25">
      <c r="A88" s="79">
        <v>46180</v>
      </c>
      <c r="B88" s="110">
        <v>52</v>
      </c>
      <c r="C88" s="111">
        <v>99</v>
      </c>
      <c r="D88" s="110">
        <v>55</v>
      </c>
      <c r="E88" s="110">
        <v>27</v>
      </c>
      <c r="F88" s="112">
        <v>13</v>
      </c>
      <c r="G88" s="112">
        <v>26</v>
      </c>
      <c r="H88" s="113">
        <v>10</v>
      </c>
      <c r="I88" s="114">
        <v>2</v>
      </c>
      <c r="J88" s="114">
        <v>2</v>
      </c>
      <c r="K88" s="115">
        <v>0</v>
      </c>
      <c r="L88" s="113">
        <v>0</v>
      </c>
      <c r="M88" s="10"/>
      <c r="N88" s="10"/>
      <c r="O88" s="10"/>
      <c r="P88" s="10"/>
    </row>
    <row r="89" spans="1:16" x14ac:dyDescent="0.25">
      <c r="A89" s="79">
        <v>46187</v>
      </c>
      <c r="B89" s="110">
        <v>49</v>
      </c>
      <c r="C89" s="111">
        <v>93</v>
      </c>
      <c r="D89" s="110">
        <v>41</v>
      </c>
      <c r="E89" s="110">
        <v>35</v>
      </c>
      <c r="F89" s="112">
        <v>19</v>
      </c>
      <c r="G89" s="112">
        <v>9</v>
      </c>
      <c r="H89" s="113">
        <v>2</v>
      </c>
      <c r="I89" s="114">
        <v>1</v>
      </c>
      <c r="J89" s="114">
        <v>0</v>
      </c>
      <c r="K89" s="115">
        <v>0</v>
      </c>
      <c r="L89" s="113">
        <v>0</v>
      </c>
      <c r="M89" s="10"/>
      <c r="N89" s="10"/>
      <c r="O89" s="10"/>
      <c r="P89" s="10"/>
    </row>
    <row r="90" spans="1:16" x14ac:dyDescent="0.25">
      <c r="A90" s="79">
        <v>46194</v>
      </c>
      <c r="B90" s="110">
        <v>51</v>
      </c>
      <c r="C90" s="111">
        <v>119</v>
      </c>
      <c r="D90" s="110">
        <v>48</v>
      </c>
      <c r="E90" s="110">
        <v>27</v>
      </c>
      <c r="F90" s="112">
        <v>28</v>
      </c>
      <c r="G90" s="112">
        <v>7</v>
      </c>
      <c r="H90" s="113">
        <v>6</v>
      </c>
      <c r="I90" s="114">
        <v>3</v>
      </c>
      <c r="J90" s="114">
        <v>0</v>
      </c>
      <c r="K90" s="115">
        <v>0</v>
      </c>
      <c r="L90" s="113">
        <v>0</v>
      </c>
      <c r="M90" s="10"/>
      <c r="N90" s="10"/>
      <c r="O90" s="10"/>
      <c r="P90" s="10"/>
    </row>
    <row r="91" spans="1:16" x14ac:dyDescent="0.25">
      <c r="A91" s="79">
        <v>46201</v>
      </c>
      <c r="B91" s="110">
        <v>22</v>
      </c>
      <c r="C91" s="111">
        <v>42</v>
      </c>
      <c r="D91" s="110">
        <v>26</v>
      </c>
      <c r="E91" s="110">
        <v>17</v>
      </c>
      <c r="F91" s="112">
        <v>11</v>
      </c>
      <c r="G91" s="112">
        <v>28</v>
      </c>
      <c r="H91" s="113">
        <v>4</v>
      </c>
      <c r="I91" s="114">
        <v>0</v>
      </c>
      <c r="J91" s="114">
        <v>0</v>
      </c>
      <c r="K91" s="115">
        <v>0</v>
      </c>
      <c r="L91" s="113">
        <v>0</v>
      </c>
      <c r="M91" s="10"/>
      <c r="N91" s="10"/>
      <c r="O91" s="10"/>
      <c r="P91" s="10"/>
    </row>
    <row r="92" spans="1:16" x14ac:dyDescent="0.25">
      <c r="A92" s="79">
        <v>46208</v>
      </c>
      <c r="B92" s="110">
        <v>31</v>
      </c>
      <c r="C92" s="111">
        <v>64</v>
      </c>
      <c r="D92" s="110">
        <v>36</v>
      </c>
      <c r="E92" s="110">
        <v>12</v>
      </c>
      <c r="F92" s="112">
        <v>22</v>
      </c>
      <c r="G92" s="112">
        <v>11</v>
      </c>
      <c r="H92" s="113">
        <v>4</v>
      </c>
      <c r="I92" s="114">
        <v>1</v>
      </c>
      <c r="J92" s="114">
        <v>1</v>
      </c>
      <c r="K92" s="115">
        <v>0</v>
      </c>
      <c r="L92" s="113">
        <v>0</v>
      </c>
      <c r="M92" s="10"/>
      <c r="N92" s="10"/>
      <c r="O92" s="10"/>
      <c r="P92" s="10"/>
    </row>
    <row r="93" spans="1:16" x14ac:dyDescent="0.25">
      <c r="A93" s="79">
        <v>46215</v>
      </c>
      <c r="B93" s="110">
        <v>19</v>
      </c>
      <c r="C93" s="111">
        <v>58</v>
      </c>
      <c r="D93" s="110">
        <v>20</v>
      </c>
      <c r="E93" s="110">
        <v>18</v>
      </c>
      <c r="F93" s="112">
        <v>16</v>
      </c>
      <c r="G93" s="112">
        <v>4</v>
      </c>
      <c r="H93" s="113">
        <v>14</v>
      </c>
      <c r="I93" s="114">
        <v>0</v>
      </c>
      <c r="J93" s="114">
        <v>0</v>
      </c>
      <c r="K93" s="115">
        <v>0</v>
      </c>
      <c r="L93" s="113">
        <v>0</v>
      </c>
      <c r="M93" s="10"/>
      <c r="N93" s="10"/>
      <c r="O93" s="10"/>
      <c r="P93" s="10"/>
    </row>
    <row r="94" spans="1:16" x14ac:dyDescent="0.25">
      <c r="A94" s="79">
        <v>46222</v>
      </c>
      <c r="B94" s="110">
        <v>43</v>
      </c>
      <c r="C94" s="111">
        <v>96</v>
      </c>
      <c r="D94" s="110">
        <v>40</v>
      </c>
      <c r="E94" s="110">
        <v>33</v>
      </c>
      <c r="F94" s="112">
        <v>41</v>
      </c>
      <c r="G94" s="112">
        <v>8</v>
      </c>
      <c r="H94" s="113">
        <v>6</v>
      </c>
      <c r="I94" s="114">
        <v>2</v>
      </c>
      <c r="J94" s="114">
        <v>0</v>
      </c>
      <c r="K94" s="115">
        <v>0</v>
      </c>
      <c r="L94" s="113">
        <v>0</v>
      </c>
      <c r="M94" s="10"/>
      <c r="N94" s="10"/>
      <c r="O94" s="10"/>
      <c r="P94" s="10"/>
    </row>
    <row r="95" spans="1:16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spans="1:16" outlineLevel="1" x14ac:dyDescent="0.25">
      <c r="A96" s="9" t="s">
        <v>59</v>
      </c>
      <c r="B96" s="64" t="s">
        <v>76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spans="1:16" outlineLevel="1" x14ac:dyDescent="0.25">
      <c r="A97" s="9" t="s">
        <v>61</v>
      </c>
      <c r="B97" s="65">
        <v>24</v>
      </c>
      <c r="C97" s="65">
        <v>25</v>
      </c>
      <c r="D97" s="65">
        <v>26</v>
      </c>
      <c r="E97" s="65">
        <v>27</v>
      </c>
      <c r="F97" s="65">
        <v>29</v>
      </c>
      <c r="G97" s="65">
        <v>30</v>
      </c>
      <c r="H97" s="65">
        <v>32</v>
      </c>
      <c r="I97" s="65">
        <v>34</v>
      </c>
      <c r="J97" s="65" t="s">
        <v>105</v>
      </c>
      <c r="K97" s="10">
        <v>36</v>
      </c>
      <c r="L97" s="10" t="s">
        <v>106</v>
      </c>
      <c r="M97" s="10"/>
      <c r="N97" s="10"/>
      <c r="O97" s="10"/>
      <c r="P97" s="10"/>
    </row>
    <row r="98" spans="1:16" ht="18.75" x14ac:dyDescent="0.3">
      <c r="A98" s="66" t="s">
        <v>107</v>
      </c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</row>
    <row r="99" spans="1:16" ht="27" x14ac:dyDescent="0.25">
      <c r="A99" s="67" t="s">
        <v>63</v>
      </c>
      <c r="B99" s="116" t="s">
        <v>108</v>
      </c>
      <c r="C99" s="116"/>
      <c r="D99" s="116"/>
      <c r="E99" s="116"/>
      <c r="F99" s="101" t="s">
        <v>93</v>
      </c>
      <c r="G99" s="102"/>
      <c r="H99" s="103" t="s">
        <v>94</v>
      </c>
      <c r="I99" s="104" t="s">
        <v>95</v>
      </c>
      <c r="J99" s="105"/>
      <c r="K99" s="106" t="s">
        <v>96</v>
      </c>
      <c r="L99" s="103" t="s">
        <v>97</v>
      </c>
      <c r="M99" s="10"/>
      <c r="N99" s="10"/>
      <c r="O99" s="10"/>
      <c r="P99" s="10"/>
    </row>
    <row r="100" spans="1:16" x14ac:dyDescent="0.25">
      <c r="A100" s="73"/>
      <c r="B100" s="117" t="s">
        <v>98</v>
      </c>
      <c r="C100" s="117" t="s">
        <v>99</v>
      </c>
      <c r="D100" s="117" t="s">
        <v>100</v>
      </c>
      <c r="E100" s="117" t="s">
        <v>101</v>
      </c>
      <c r="F100" s="108" t="s">
        <v>102</v>
      </c>
      <c r="G100" s="108" t="s">
        <v>103</v>
      </c>
      <c r="H100" s="109" t="s">
        <v>104</v>
      </c>
      <c r="I100" s="108" t="s">
        <v>102</v>
      </c>
      <c r="J100" s="108" t="s">
        <v>103</v>
      </c>
      <c r="K100" s="109" t="s">
        <v>104</v>
      </c>
      <c r="L100" s="109" t="s">
        <v>104</v>
      </c>
      <c r="M100" s="10"/>
      <c r="N100" s="10"/>
      <c r="O100" s="10"/>
      <c r="P100" s="10"/>
    </row>
    <row r="101" spans="1:16" x14ac:dyDescent="0.25">
      <c r="A101" s="79">
        <v>46138</v>
      </c>
      <c r="B101" s="110">
        <v>159</v>
      </c>
      <c r="C101" s="111">
        <v>237</v>
      </c>
      <c r="D101" s="110">
        <v>162</v>
      </c>
      <c r="E101" s="110">
        <v>88</v>
      </c>
      <c r="F101" s="112">
        <v>44</v>
      </c>
      <c r="G101" s="112">
        <v>23</v>
      </c>
      <c r="H101" s="113">
        <v>20</v>
      </c>
      <c r="I101" s="114">
        <v>2</v>
      </c>
      <c r="J101" s="114">
        <v>0</v>
      </c>
      <c r="K101" s="115">
        <v>0</v>
      </c>
      <c r="L101" s="113">
        <v>0</v>
      </c>
      <c r="M101" s="10"/>
      <c r="N101" s="10"/>
      <c r="O101" s="10"/>
      <c r="P101" s="10"/>
    </row>
    <row r="102" spans="1:16" x14ac:dyDescent="0.25">
      <c r="A102" s="79">
        <v>46145</v>
      </c>
      <c r="B102" s="110">
        <v>187</v>
      </c>
      <c r="C102" s="111">
        <v>257</v>
      </c>
      <c r="D102" s="110">
        <v>175</v>
      </c>
      <c r="E102" s="110">
        <v>100</v>
      </c>
      <c r="F102" s="112">
        <v>35</v>
      </c>
      <c r="G102" s="112">
        <v>30</v>
      </c>
      <c r="H102" s="113">
        <v>14</v>
      </c>
      <c r="I102" s="114">
        <v>0</v>
      </c>
      <c r="J102" s="114">
        <v>0</v>
      </c>
      <c r="K102" s="115">
        <v>0</v>
      </c>
      <c r="L102" s="113">
        <v>0</v>
      </c>
      <c r="M102" s="10"/>
      <c r="N102" s="10"/>
      <c r="O102" s="10"/>
      <c r="P102" s="10"/>
    </row>
    <row r="103" spans="1:16" x14ac:dyDescent="0.25">
      <c r="A103" s="79">
        <v>46152</v>
      </c>
      <c r="B103" s="110">
        <v>163</v>
      </c>
      <c r="C103" s="111">
        <v>198</v>
      </c>
      <c r="D103" s="110">
        <v>147</v>
      </c>
      <c r="E103" s="110">
        <v>76</v>
      </c>
      <c r="F103" s="112">
        <v>30</v>
      </c>
      <c r="G103" s="112">
        <v>21</v>
      </c>
      <c r="H103" s="113">
        <v>16</v>
      </c>
      <c r="I103" s="114">
        <v>0</v>
      </c>
      <c r="J103" s="114">
        <v>0</v>
      </c>
      <c r="K103" s="115">
        <v>0</v>
      </c>
      <c r="L103" s="113">
        <v>0</v>
      </c>
      <c r="M103" s="10"/>
      <c r="N103" s="10"/>
      <c r="O103" s="10"/>
      <c r="P103" s="10"/>
    </row>
    <row r="104" spans="1:16" x14ac:dyDescent="0.25">
      <c r="A104" s="79">
        <v>46159</v>
      </c>
      <c r="B104" s="110">
        <v>139</v>
      </c>
      <c r="C104" s="111">
        <v>187</v>
      </c>
      <c r="D104" s="110">
        <v>133</v>
      </c>
      <c r="E104" s="110">
        <v>75</v>
      </c>
      <c r="F104" s="112">
        <v>30</v>
      </c>
      <c r="G104" s="112">
        <v>29</v>
      </c>
      <c r="H104" s="113">
        <v>16</v>
      </c>
      <c r="I104" s="114">
        <v>0</v>
      </c>
      <c r="J104" s="114">
        <v>1</v>
      </c>
      <c r="K104" s="115">
        <v>0</v>
      </c>
      <c r="L104" s="113">
        <v>0</v>
      </c>
      <c r="M104" s="10"/>
      <c r="N104" s="10"/>
      <c r="O104" s="10"/>
      <c r="P104" s="10"/>
    </row>
    <row r="105" spans="1:16" x14ac:dyDescent="0.25">
      <c r="A105" s="79">
        <v>46166</v>
      </c>
      <c r="B105" s="110">
        <v>104</v>
      </c>
      <c r="C105" s="111">
        <v>173</v>
      </c>
      <c r="D105" s="110">
        <v>144</v>
      </c>
      <c r="E105" s="110">
        <v>52</v>
      </c>
      <c r="F105" s="112">
        <v>41</v>
      </c>
      <c r="G105" s="112">
        <v>21</v>
      </c>
      <c r="H105" s="113">
        <v>8</v>
      </c>
      <c r="I105" s="114">
        <v>0</v>
      </c>
      <c r="J105" s="114">
        <v>0</v>
      </c>
      <c r="K105" s="115">
        <v>0</v>
      </c>
      <c r="L105" s="113">
        <v>0</v>
      </c>
      <c r="M105" s="10"/>
      <c r="N105" s="10"/>
      <c r="O105" s="10"/>
      <c r="P105" s="10"/>
    </row>
    <row r="106" spans="1:16" x14ac:dyDescent="0.25">
      <c r="A106" s="79">
        <v>46173</v>
      </c>
      <c r="B106" s="110">
        <v>117</v>
      </c>
      <c r="C106" s="111">
        <v>179</v>
      </c>
      <c r="D106" s="110">
        <v>125</v>
      </c>
      <c r="E106" s="110">
        <v>44</v>
      </c>
      <c r="F106" s="112">
        <v>39</v>
      </c>
      <c r="G106" s="112">
        <v>16</v>
      </c>
      <c r="H106" s="113">
        <v>8</v>
      </c>
      <c r="I106" s="114">
        <v>0</v>
      </c>
      <c r="J106" s="114">
        <v>0</v>
      </c>
      <c r="K106" s="115">
        <v>0</v>
      </c>
      <c r="L106" s="113">
        <v>0</v>
      </c>
      <c r="M106" s="10"/>
      <c r="N106" s="10"/>
      <c r="O106" s="10"/>
      <c r="P106" s="10"/>
    </row>
    <row r="107" spans="1:16" x14ac:dyDescent="0.25">
      <c r="A107" s="79">
        <v>46180</v>
      </c>
      <c r="B107" s="110">
        <v>106</v>
      </c>
      <c r="C107" s="111">
        <v>142</v>
      </c>
      <c r="D107" s="110">
        <v>104</v>
      </c>
      <c r="E107" s="110">
        <v>46</v>
      </c>
      <c r="F107" s="112">
        <v>42</v>
      </c>
      <c r="G107" s="112">
        <v>26</v>
      </c>
      <c r="H107" s="113">
        <v>16</v>
      </c>
      <c r="I107" s="114">
        <v>0</v>
      </c>
      <c r="J107" s="114">
        <v>0</v>
      </c>
      <c r="K107" s="115">
        <v>0</v>
      </c>
      <c r="L107" s="113">
        <v>0</v>
      </c>
      <c r="M107" s="10"/>
      <c r="N107" s="10"/>
      <c r="O107" s="10"/>
      <c r="P107" s="10"/>
    </row>
    <row r="108" spans="1:16" x14ac:dyDescent="0.25">
      <c r="A108" s="79">
        <v>46187</v>
      </c>
      <c r="B108" s="110">
        <v>82</v>
      </c>
      <c r="C108" s="111">
        <v>155</v>
      </c>
      <c r="D108" s="110">
        <v>126</v>
      </c>
      <c r="E108" s="110">
        <v>41</v>
      </c>
      <c r="F108" s="112">
        <v>38</v>
      </c>
      <c r="G108" s="112">
        <v>19</v>
      </c>
      <c r="H108" s="113">
        <v>14</v>
      </c>
      <c r="I108" s="114">
        <v>0</v>
      </c>
      <c r="J108" s="114">
        <v>0</v>
      </c>
      <c r="K108" s="115">
        <v>0</v>
      </c>
      <c r="L108" s="113">
        <v>0</v>
      </c>
      <c r="M108" s="10"/>
      <c r="N108" s="10"/>
      <c r="O108" s="10"/>
      <c r="P108" s="10"/>
    </row>
    <row r="109" spans="1:16" x14ac:dyDescent="0.25">
      <c r="A109" s="79">
        <v>46194</v>
      </c>
      <c r="B109" s="110">
        <v>112</v>
      </c>
      <c r="C109" s="111">
        <v>182</v>
      </c>
      <c r="D109" s="110">
        <v>131</v>
      </c>
      <c r="E109" s="110">
        <v>60</v>
      </c>
      <c r="F109" s="112">
        <v>44</v>
      </c>
      <c r="G109" s="112">
        <v>26</v>
      </c>
      <c r="H109" s="113">
        <v>8</v>
      </c>
      <c r="I109" s="114">
        <v>2</v>
      </c>
      <c r="J109" s="114">
        <v>5</v>
      </c>
      <c r="K109" s="115">
        <v>0</v>
      </c>
      <c r="L109" s="113">
        <v>0</v>
      </c>
      <c r="M109" s="10"/>
      <c r="N109" s="10"/>
      <c r="O109" s="10"/>
      <c r="P109" s="10"/>
    </row>
    <row r="110" spans="1:16" x14ac:dyDescent="0.25">
      <c r="A110" s="79">
        <v>46201</v>
      </c>
      <c r="B110" s="110">
        <v>90</v>
      </c>
      <c r="C110" s="111">
        <v>135</v>
      </c>
      <c r="D110" s="110">
        <v>93</v>
      </c>
      <c r="E110" s="110">
        <v>43</v>
      </c>
      <c r="F110" s="112">
        <v>47</v>
      </c>
      <c r="G110" s="112">
        <v>40</v>
      </c>
      <c r="H110" s="113">
        <v>6</v>
      </c>
      <c r="I110" s="114">
        <v>0</v>
      </c>
      <c r="J110" s="114">
        <v>0</v>
      </c>
      <c r="K110" s="115">
        <v>0</v>
      </c>
      <c r="L110" s="113">
        <v>0</v>
      </c>
      <c r="M110" s="10"/>
      <c r="N110" s="10"/>
      <c r="O110" s="10"/>
      <c r="P110" s="10"/>
    </row>
    <row r="111" spans="1:16" x14ac:dyDescent="0.25">
      <c r="A111" s="79">
        <v>46208</v>
      </c>
      <c r="B111" s="110">
        <v>102</v>
      </c>
      <c r="C111" s="111">
        <v>192</v>
      </c>
      <c r="D111" s="110">
        <v>142</v>
      </c>
      <c r="E111" s="110">
        <v>47</v>
      </c>
      <c r="F111" s="112">
        <v>39</v>
      </c>
      <c r="G111" s="112">
        <v>24</v>
      </c>
      <c r="H111" s="113">
        <v>12</v>
      </c>
      <c r="I111" s="114">
        <v>2</v>
      </c>
      <c r="J111" s="114">
        <v>0</v>
      </c>
      <c r="K111" s="115">
        <v>0</v>
      </c>
      <c r="L111" s="113">
        <v>0</v>
      </c>
      <c r="M111" s="10"/>
      <c r="N111" s="10"/>
      <c r="O111" s="10"/>
      <c r="P111" s="10"/>
    </row>
    <row r="112" spans="1:16" x14ac:dyDescent="0.25">
      <c r="A112" s="79">
        <v>46215</v>
      </c>
      <c r="B112" s="110">
        <v>95</v>
      </c>
      <c r="C112" s="111">
        <v>156</v>
      </c>
      <c r="D112" s="110">
        <v>75</v>
      </c>
      <c r="E112" s="110">
        <v>40</v>
      </c>
      <c r="F112" s="112">
        <v>36</v>
      </c>
      <c r="G112" s="112">
        <v>17</v>
      </c>
      <c r="H112" s="113">
        <v>18</v>
      </c>
      <c r="I112" s="114">
        <v>0</v>
      </c>
      <c r="J112" s="114">
        <v>0</v>
      </c>
      <c r="K112" s="115">
        <v>0</v>
      </c>
      <c r="L112" s="113">
        <v>0</v>
      </c>
      <c r="M112" s="10"/>
      <c r="N112" s="10"/>
      <c r="O112" s="10"/>
      <c r="P112" s="10"/>
    </row>
    <row r="113" spans="1:16" x14ac:dyDescent="0.25">
      <c r="A113" s="79">
        <v>46222</v>
      </c>
      <c r="B113" s="110">
        <v>131</v>
      </c>
      <c r="C113" s="111">
        <v>183</v>
      </c>
      <c r="D113" s="110">
        <v>108</v>
      </c>
      <c r="E113" s="110">
        <v>55</v>
      </c>
      <c r="F113" s="112">
        <v>31</v>
      </c>
      <c r="G113" s="112">
        <v>22</v>
      </c>
      <c r="H113" s="113">
        <v>14</v>
      </c>
      <c r="I113" s="114">
        <v>2</v>
      </c>
      <c r="J113" s="114">
        <v>0</v>
      </c>
      <c r="K113" s="115">
        <v>0</v>
      </c>
      <c r="L113" s="113">
        <v>0</v>
      </c>
      <c r="M113" s="10"/>
      <c r="N113" s="10"/>
      <c r="O113" s="10"/>
      <c r="P113" s="10"/>
    </row>
    <row r="114" spans="1:16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spans="1:16" outlineLevel="1" x14ac:dyDescent="0.25">
      <c r="A115" s="9" t="s">
        <v>59</v>
      </c>
      <c r="B115" s="64" t="s">
        <v>109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spans="1:16" outlineLevel="1" x14ac:dyDescent="0.25">
      <c r="A116" s="9" t="s">
        <v>61</v>
      </c>
      <c r="B116" s="65">
        <v>16</v>
      </c>
      <c r="C116" s="65">
        <v>19</v>
      </c>
      <c r="D116" s="65">
        <v>20</v>
      </c>
      <c r="E116" s="65">
        <v>22</v>
      </c>
      <c r="F116" s="65">
        <v>23</v>
      </c>
      <c r="G116" s="65">
        <v>24</v>
      </c>
      <c r="H116" s="65">
        <v>25</v>
      </c>
      <c r="I116" s="65"/>
      <c r="J116" s="65"/>
      <c r="K116" s="10"/>
      <c r="L116" s="10"/>
      <c r="M116" s="10"/>
      <c r="N116" s="10"/>
      <c r="O116" s="10"/>
      <c r="P116" s="10"/>
    </row>
    <row r="117" spans="1:16" ht="18.75" x14ac:dyDescent="0.3">
      <c r="A117" s="85" t="s">
        <v>110</v>
      </c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</row>
    <row r="118" spans="1:16" x14ac:dyDescent="0.25">
      <c r="A118" s="118" t="s">
        <v>63</v>
      </c>
      <c r="B118" s="119" t="s">
        <v>111</v>
      </c>
      <c r="C118" s="120"/>
      <c r="D118" s="121"/>
      <c r="E118" s="91" t="s">
        <v>65</v>
      </c>
      <c r="F118" s="92"/>
      <c r="G118" s="92"/>
      <c r="H118" s="92"/>
      <c r="I118" s="10"/>
      <c r="J118" s="10"/>
      <c r="K118" s="10"/>
      <c r="L118" s="10"/>
      <c r="M118" s="10"/>
      <c r="N118" s="10"/>
      <c r="O118" s="10"/>
      <c r="P118" s="10"/>
    </row>
    <row r="119" spans="1:16" ht="15.75" customHeight="1" x14ac:dyDescent="0.25">
      <c r="A119" s="122"/>
      <c r="B119" s="75" t="s">
        <v>112</v>
      </c>
      <c r="C119" s="123" t="s">
        <v>70</v>
      </c>
      <c r="D119" s="74" t="s">
        <v>71</v>
      </c>
      <c r="E119" s="76" t="s">
        <v>113</v>
      </c>
      <c r="F119" s="117" t="s">
        <v>73</v>
      </c>
      <c r="G119" s="77" t="s">
        <v>74</v>
      </c>
      <c r="H119" s="117" t="s">
        <v>75</v>
      </c>
      <c r="I119" s="10"/>
      <c r="J119" s="10"/>
      <c r="K119" s="10"/>
      <c r="L119" s="10"/>
      <c r="M119" s="10"/>
      <c r="N119" s="10"/>
      <c r="O119" s="10"/>
      <c r="P119" s="10"/>
    </row>
    <row r="120" spans="1:16" x14ac:dyDescent="0.25">
      <c r="A120" s="79">
        <v>46138</v>
      </c>
      <c r="B120" s="81">
        <v>38.557072735385994</v>
      </c>
      <c r="C120" s="124">
        <v>40.528182674085315</v>
      </c>
      <c r="D120" s="124">
        <v>41.804163249815247</v>
      </c>
      <c r="E120" s="125">
        <v>51.010249307479228</v>
      </c>
      <c r="F120" s="84">
        <v>-0.24413087058304817</v>
      </c>
      <c r="G120" s="84">
        <v>-0.23141079269358888</v>
      </c>
      <c r="H120" s="84">
        <v>-0.28967970530177256</v>
      </c>
      <c r="I120" s="10"/>
      <c r="J120" s="10"/>
      <c r="K120" s="10"/>
      <c r="L120" s="10"/>
      <c r="M120" s="10"/>
      <c r="N120" s="10"/>
      <c r="O120" s="10"/>
      <c r="P120" s="10"/>
    </row>
    <row r="121" spans="1:16" x14ac:dyDescent="0.25">
      <c r="A121" s="79">
        <v>46145</v>
      </c>
      <c r="B121" s="81">
        <v>44.854733727810654</v>
      </c>
      <c r="C121" s="124">
        <v>40.864628577615292</v>
      </c>
      <c r="D121" s="124">
        <v>41.999141386314427</v>
      </c>
      <c r="E121" s="125">
        <v>51.678736842105266</v>
      </c>
      <c r="F121" s="84">
        <v>-0.13204663138621364</v>
      </c>
      <c r="G121" s="84">
        <v>-0.21812970406311058</v>
      </c>
      <c r="H121" s="84">
        <v>-0.28119732075464871</v>
      </c>
      <c r="I121" s="10"/>
      <c r="J121" s="10"/>
      <c r="K121" s="10"/>
      <c r="L121" s="10"/>
      <c r="M121" s="10"/>
      <c r="N121" s="10"/>
      <c r="O121" s="10"/>
      <c r="P121" s="10"/>
    </row>
    <row r="122" spans="1:16" x14ac:dyDescent="0.25">
      <c r="A122" s="79">
        <v>46152</v>
      </c>
      <c r="B122" s="81">
        <v>47.889945155393058</v>
      </c>
      <c r="C122" s="124">
        <v>42.03879438688115</v>
      </c>
      <c r="D122" s="124">
        <v>42.458392916525021</v>
      </c>
      <c r="E122" s="125">
        <v>47.930030487804878</v>
      </c>
      <c r="F122" s="84">
        <v>-8.3633020892860406E-4</v>
      </c>
      <c r="G122" s="84">
        <v>-0.18749899614271281</v>
      </c>
      <c r="H122" s="84">
        <v>-0.25672727643473287</v>
      </c>
      <c r="I122" s="10"/>
      <c r="J122" s="10"/>
      <c r="K122" s="10"/>
      <c r="L122" s="10"/>
      <c r="M122" s="10"/>
      <c r="N122" s="10"/>
      <c r="O122" s="10"/>
      <c r="P122" s="10"/>
    </row>
    <row r="123" spans="1:16" x14ac:dyDescent="0.25">
      <c r="A123" s="79">
        <v>46159</v>
      </c>
      <c r="B123" s="81">
        <v>51.22168582375479</v>
      </c>
      <c r="C123" s="124">
        <v>43.120805130350554</v>
      </c>
      <c r="D123" s="124">
        <v>42.005874821996038</v>
      </c>
      <c r="E123" s="125">
        <v>52.323433242506816</v>
      </c>
      <c r="F123" s="84">
        <v>-2.1056481780270152E-2</v>
      </c>
      <c r="G123" s="84">
        <v>-0.16718422707385336</v>
      </c>
      <c r="H123" s="84">
        <v>-0.25120689949835101</v>
      </c>
      <c r="I123" s="10"/>
      <c r="J123" s="10"/>
      <c r="K123" s="10"/>
      <c r="L123" s="10"/>
      <c r="M123" s="10"/>
      <c r="N123" s="10"/>
      <c r="O123" s="10"/>
      <c r="P123" s="10"/>
    </row>
    <row r="124" spans="1:16" x14ac:dyDescent="0.25">
      <c r="A124" s="79">
        <v>46166</v>
      </c>
      <c r="B124" s="81">
        <v>51.011514736120631</v>
      </c>
      <c r="C124" s="124">
        <v>44.822794965978865</v>
      </c>
      <c r="D124" s="124">
        <v>42.964461914220969</v>
      </c>
      <c r="E124" s="125">
        <v>51.700730994152053</v>
      </c>
      <c r="F124" s="84">
        <v>-1.3330880333382139E-2</v>
      </c>
      <c r="G124" s="84">
        <v>-0.12945024567454846</v>
      </c>
      <c r="H124" s="84">
        <v>-0.21694306829204688</v>
      </c>
      <c r="I124" s="10"/>
      <c r="J124" s="10"/>
      <c r="K124" s="10"/>
      <c r="L124" s="10"/>
      <c r="M124" s="10"/>
      <c r="N124" s="10"/>
      <c r="O124" s="10"/>
      <c r="P124" s="10"/>
    </row>
    <row r="125" spans="1:16" x14ac:dyDescent="0.25">
      <c r="A125" s="79">
        <v>46173</v>
      </c>
      <c r="B125" s="81">
        <v>50.357455012853478</v>
      </c>
      <c r="C125" s="124">
        <v>46.302419356172209</v>
      </c>
      <c r="D125" s="124">
        <v>43.797328171981107</v>
      </c>
      <c r="E125" s="125">
        <v>52.226148867313924</v>
      </c>
      <c r="F125" s="84">
        <v>-3.5780808943199335E-2</v>
      </c>
      <c r="G125" s="84">
        <v>-0.10066414746813571</v>
      </c>
      <c r="H125" s="84">
        <v>-0.18981953072516181</v>
      </c>
      <c r="I125" s="10"/>
      <c r="J125" s="10"/>
      <c r="K125" s="10"/>
      <c r="L125" s="10"/>
      <c r="M125" s="10"/>
      <c r="N125" s="10"/>
      <c r="O125" s="10"/>
      <c r="P125" s="10"/>
    </row>
    <row r="126" spans="1:16" x14ac:dyDescent="0.25">
      <c r="A126" s="79">
        <v>46180</v>
      </c>
      <c r="B126" s="81">
        <v>49.084266666666672</v>
      </c>
      <c r="C126" s="124">
        <v>47.568096265426469</v>
      </c>
      <c r="D126" s="124">
        <v>44.470529218553573</v>
      </c>
      <c r="E126" s="125">
        <v>49.121448863636367</v>
      </c>
      <c r="F126" s="84">
        <v>-7.5694422354916557E-4</v>
      </c>
      <c r="G126" s="84">
        <v>-6.4648036213739379E-2</v>
      </c>
      <c r="H126" s="84">
        <v>-0.16601827023995153</v>
      </c>
      <c r="I126" s="10"/>
      <c r="J126" s="10"/>
      <c r="K126" s="10"/>
      <c r="L126" s="10"/>
      <c r="M126" s="10"/>
      <c r="N126" s="10"/>
      <c r="O126" s="10"/>
      <c r="P126" s="10"/>
    </row>
    <row r="127" spans="1:16" x14ac:dyDescent="0.25">
      <c r="A127" s="79">
        <v>46187</v>
      </c>
      <c r="B127" s="81">
        <v>50.41001142857143</v>
      </c>
      <c r="C127" s="124">
        <v>49.261373221595811</v>
      </c>
      <c r="D127" s="124">
        <v>45.079021451282081</v>
      </c>
      <c r="E127" s="125">
        <v>48.989501822600246</v>
      </c>
      <c r="F127" s="84">
        <v>2.8996204352416219E-2</v>
      </c>
      <c r="G127" s="84">
        <v>-2.5822577521674609E-2</v>
      </c>
      <c r="H127" s="84">
        <v>-0.14013102811499706</v>
      </c>
      <c r="I127" s="10"/>
      <c r="J127" s="10"/>
      <c r="K127" s="10"/>
      <c r="L127" s="10"/>
      <c r="M127" s="10"/>
      <c r="N127" s="10"/>
      <c r="O127" s="10"/>
      <c r="P127" s="10"/>
    </row>
    <row r="128" spans="1:16" x14ac:dyDescent="0.25">
      <c r="A128" s="79">
        <v>46194</v>
      </c>
      <c r="B128" s="81">
        <v>50.959869767441859</v>
      </c>
      <c r="C128" s="124">
        <v>50.133535512971712</v>
      </c>
      <c r="D128" s="124">
        <v>45.947412626428999</v>
      </c>
      <c r="E128" s="125">
        <v>43.9958064516129</v>
      </c>
      <c r="F128" s="84">
        <v>0.15828925248791875</v>
      </c>
      <c r="G128" s="84">
        <v>1.3421371605763517E-2</v>
      </c>
      <c r="H128" s="84">
        <v>-0.10584113348309021</v>
      </c>
      <c r="I128" s="10"/>
      <c r="J128" s="10"/>
      <c r="K128" s="10"/>
      <c r="L128" s="10"/>
      <c r="M128" s="10"/>
      <c r="N128" s="10"/>
      <c r="O128" s="10"/>
      <c r="P128" s="10"/>
    </row>
    <row r="129" spans="1:16" x14ac:dyDescent="0.25">
      <c r="A129" s="79">
        <v>46201</v>
      </c>
      <c r="B129" s="81">
        <v>51.443616613418534</v>
      </c>
      <c r="C129" s="124">
        <v>50.641202864118206</v>
      </c>
      <c r="D129" s="124">
        <v>46.547105395194343</v>
      </c>
      <c r="E129" s="125">
        <v>44.304503464203236</v>
      </c>
      <c r="F129" s="84">
        <v>0.16113741473219526</v>
      </c>
      <c r="G129" s="84">
        <v>3.4514656005602391E-2</v>
      </c>
      <c r="H129" s="84">
        <v>-7.8771542612390957E-2</v>
      </c>
      <c r="I129" s="10"/>
      <c r="J129" s="10"/>
      <c r="K129" s="10"/>
      <c r="L129" s="10"/>
      <c r="M129" s="10"/>
      <c r="N129" s="10"/>
      <c r="O129" s="10"/>
      <c r="P129" s="10"/>
    </row>
    <row r="130" spans="1:16" x14ac:dyDescent="0.25">
      <c r="A130" s="79">
        <v>46208</v>
      </c>
      <c r="B130" s="81">
        <v>47.862903225806448</v>
      </c>
      <c r="C130" s="124">
        <v>50.161376778697012</v>
      </c>
      <c r="D130" s="124">
        <v>47.221360575123882</v>
      </c>
      <c r="E130" s="125">
        <v>45.744029850746273</v>
      </c>
      <c r="F130" s="84">
        <v>4.6320216692181268E-2</v>
      </c>
      <c r="G130" s="84">
        <v>4.4773178900098923E-2</v>
      </c>
      <c r="H130" s="84">
        <v>-5.0367008447478934E-2</v>
      </c>
      <c r="I130" s="10"/>
      <c r="J130" s="10"/>
      <c r="K130" s="10"/>
      <c r="L130" s="10"/>
      <c r="M130" s="10"/>
      <c r="N130" s="10"/>
      <c r="O130" s="10"/>
      <c r="P130" s="10"/>
    </row>
    <row r="131" spans="1:16" x14ac:dyDescent="0.25">
      <c r="A131" s="79">
        <v>46215</v>
      </c>
      <c r="B131" s="81">
        <v>48.347510971786832</v>
      </c>
      <c r="C131" s="124">
        <v>49.780804812363613</v>
      </c>
      <c r="D131" s="124">
        <v>47.86347032053056</v>
      </c>
      <c r="E131" s="125">
        <v>42.232368421052634</v>
      </c>
      <c r="F131" s="84">
        <v>0.14479752804215992</v>
      </c>
      <c r="G131" s="84">
        <v>6.6904170697819329E-2</v>
      </c>
      <c r="H131" s="84">
        <v>-2.0183087872840889E-2</v>
      </c>
      <c r="I131" s="10"/>
      <c r="J131" s="10"/>
      <c r="K131" s="10"/>
      <c r="L131" s="10"/>
      <c r="M131" s="10"/>
      <c r="N131" s="10"/>
      <c r="O131" s="10"/>
      <c r="P131" s="10"/>
    </row>
    <row r="132" spans="1:16" x14ac:dyDescent="0.25">
      <c r="A132" s="79">
        <v>46222</v>
      </c>
      <c r="B132" s="81">
        <v>50.967555555555549</v>
      </c>
      <c r="C132" s="124">
        <v>49.867962032749624</v>
      </c>
      <c r="D132" s="124">
        <v>48.689857032351227</v>
      </c>
      <c r="E132" s="125">
        <v>42.519308035714289</v>
      </c>
      <c r="F132" s="84">
        <v>0.19869202746068013</v>
      </c>
      <c r="G132" s="84">
        <v>0.10150855196838021</v>
      </c>
      <c r="H132" s="84">
        <v>1.4521812660284275E-2</v>
      </c>
      <c r="I132" s="10"/>
      <c r="J132" s="10"/>
      <c r="K132" s="10"/>
      <c r="L132" s="10"/>
      <c r="M132" s="10"/>
      <c r="N132" s="10"/>
      <c r="O132" s="10"/>
      <c r="P132" s="10"/>
    </row>
    <row r="133" spans="1:16" x14ac:dyDescent="0.25">
      <c r="A133" s="9"/>
      <c r="B133" s="126"/>
      <c r="C133" s="126"/>
      <c r="D133" s="126"/>
      <c r="E133" s="126"/>
      <c r="F133" s="127"/>
      <c r="G133" s="127"/>
      <c r="H133" s="127"/>
      <c r="I133" s="10"/>
      <c r="J133" s="10"/>
      <c r="K133" s="10"/>
      <c r="L133" s="10"/>
      <c r="M133" s="10"/>
      <c r="N133" s="10"/>
      <c r="O133" s="10"/>
      <c r="P133" s="10"/>
    </row>
    <row r="134" spans="1:16" outlineLevel="1" x14ac:dyDescent="0.25">
      <c r="A134" s="9" t="s">
        <v>59</v>
      </c>
      <c r="B134" s="64" t="s">
        <v>25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spans="1:16" outlineLevel="1" x14ac:dyDescent="0.25">
      <c r="A135" s="9" t="s">
        <v>61</v>
      </c>
      <c r="B135" s="65">
        <v>2</v>
      </c>
      <c r="C135" s="65">
        <v>4</v>
      </c>
      <c r="D135" s="65">
        <v>6</v>
      </c>
      <c r="E135" s="65">
        <v>7</v>
      </c>
      <c r="F135" s="65">
        <v>8</v>
      </c>
      <c r="G135" s="65">
        <v>9</v>
      </c>
      <c r="H135" s="65">
        <v>10</v>
      </c>
      <c r="I135" s="65"/>
      <c r="J135" s="65"/>
      <c r="K135" s="10"/>
      <c r="L135" s="10"/>
      <c r="M135" s="10"/>
      <c r="N135" s="10"/>
      <c r="O135" s="10"/>
      <c r="P135" s="10"/>
    </row>
    <row r="136" spans="1:16" ht="18.75" x14ac:dyDescent="0.3">
      <c r="A136" s="66" t="s">
        <v>25</v>
      </c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</row>
    <row r="137" spans="1:16" x14ac:dyDescent="0.25">
      <c r="A137" s="118" t="s">
        <v>63</v>
      </c>
      <c r="B137" s="128" t="s">
        <v>114</v>
      </c>
      <c r="C137" s="89"/>
      <c r="D137" s="89"/>
      <c r="E137" s="70" t="s">
        <v>65</v>
      </c>
      <c r="F137" s="71"/>
      <c r="G137" s="71"/>
      <c r="H137" s="72"/>
      <c r="I137" s="10"/>
      <c r="J137" s="10"/>
      <c r="K137" s="10"/>
      <c r="L137" s="10"/>
      <c r="M137" s="10"/>
      <c r="N137" s="10"/>
      <c r="O137" s="10"/>
      <c r="P137" s="10"/>
    </row>
    <row r="138" spans="1:16" ht="17.25" customHeight="1" x14ac:dyDescent="0.25">
      <c r="A138" s="122"/>
      <c r="B138" s="129" t="s">
        <v>25</v>
      </c>
      <c r="C138" s="123" t="s">
        <v>70</v>
      </c>
      <c r="D138" s="123" t="s">
        <v>71</v>
      </c>
      <c r="E138" s="76" t="s">
        <v>115</v>
      </c>
      <c r="F138" s="77" t="s">
        <v>73</v>
      </c>
      <c r="G138" s="77" t="s">
        <v>74</v>
      </c>
      <c r="H138" s="77" t="s">
        <v>75</v>
      </c>
      <c r="I138" s="10"/>
      <c r="J138" s="10"/>
      <c r="K138" s="10"/>
      <c r="L138" s="10"/>
      <c r="M138" s="10"/>
      <c r="N138" s="10"/>
      <c r="O138" s="10"/>
      <c r="P138" s="10"/>
    </row>
    <row r="139" spans="1:16" x14ac:dyDescent="0.25">
      <c r="A139" s="79">
        <v>46138</v>
      </c>
      <c r="B139" s="130">
        <v>289</v>
      </c>
      <c r="C139" s="97">
        <v>282.14285714285717</v>
      </c>
      <c r="D139" s="97">
        <v>311.15384615384613</v>
      </c>
      <c r="E139" s="99">
        <v>229</v>
      </c>
      <c r="F139" s="84">
        <v>0.26200873362445415</v>
      </c>
      <c r="G139" s="84">
        <v>-8.352668213457061E-2</v>
      </c>
      <c r="H139" s="84">
        <v>-6.9687212511499577E-2</v>
      </c>
      <c r="I139" s="10"/>
      <c r="J139" s="10"/>
      <c r="K139" s="10"/>
      <c r="L139" s="10"/>
      <c r="M139" s="10"/>
      <c r="N139" s="10"/>
      <c r="O139" s="10"/>
      <c r="P139" s="10"/>
    </row>
    <row r="140" spans="1:16" x14ac:dyDescent="0.25">
      <c r="A140" s="79">
        <v>46145</v>
      </c>
      <c r="B140" s="130">
        <v>269</v>
      </c>
      <c r="C140" s="97">
        <v>273.28571428571428</v>
      </c>
      <c r="D140" s="97">
        <v>303.61538461538464</v>
      </c>
      <c r="E140" s="99">
        <v>257</v>
      </c>
      <c r="F140" s="84">
        <v>4.6692607003891051E-2</v>
      </c>
      <c r="G140" s="84">
        <v>-6.6373840897999081E-2</v>
      </c>
      <c r="H140" s="84">
        <v>-6.1132254995242469E-2</v>
      </c>
      <c r="I140" s="10"/>
      <c r="J140" s="10"/>
      <c r="K140" s="10"/>
      <c r="L140" s="10"/>
      <c r="M140" s="10"/>
      <c r="N140" s="10"/>
      <c r="O140" s="10"/>
      <c r="P140" s="10"/>
    </row>
    <row r="141" spans="1:16" x14ac:dyDescent="0.25">
      <c r="A141" s="79">
        <v>46152</v>
      </c>
      <c r="B141" s="130">
        <v>281</v>
      </c>
      <c r="C141" s="97">
        <v>272.42857142857144</v>
      </c>
      <c r="D141" s="97">
        <v>295.30769230769232</v>
      </c>
      <c r="E141" s="99">
        <v>263</v>
      </c>
      <c r="F141" s="84">
        <v>6.8441064638783272E-2</v>
      </c>
      <c r="G141" s="84">
        <v>-2.405322415557833E-2</v>
      </c>
      <c r="H141" s="84">
        <v>-5.3500986193293847E-2</v>
      </c>
      <c r="I141" s="10"/>
      <c r="J141" s="10"/>
      <c r="K141" s="10"/>
      <c r="L141" s="10"/>
      <c r="M141" s="10"/>
      <c r="N141" s="10"/>
      <c r="O141" s="10"/>
      <c r="P141" s="10"/>
    </row>
    <row r="142" spans="1:16" x14ac:dyDescent="0.25">
      <c r="A142" s="79">
        <v>46159</v>
      </c>
      <c r="B142" s="130">
        <v>286</v>
      </c>
      <c r="C142" s="97">
        <v>266.28571428571428</v>
      </c>
      <c r="D142" s="97">
        <v>288.84615384615387</v>
      </c>
      <c r="E142" s="99">
        <v>264</v>
      </c>
      <c r="F142" s="84">
        <v>8.3333333333333329E-2</v>
      </c>
      <c r="G142" s="84">
        <v>-2.2548505506030502E-2</v>
      </c>
      <c r="H142" s="84">
        <v>-4.8644540157081341E-2</v>
      </c>
      <c r="I142" s="10"/>
      <c r="J142" s="10"/>
      <c r="K142" s="10"/>
      <c r="L142" s="10"/>
      <c r="M142" s="10"/>
      <c r="N142" s="10"/>
      <c r="O142" s="10"/>
      <c r="P142" s="10"/>
    </row>
    <row r="143" spans="1:16" x14ac:dyDescent="0.25">
      <c r="A143" s="79">
        <v>46166</v>
      </c>
      <c r="B143" s="130">
        <v>233</v>
      </c>
      <c r="C143" s="97">
        <v>262.28571428571428</v>
      </c>
      <c r="D143" s="97">
        <v>281.61538461538464</v>
      </c>
      <c r="E143" s="99">
        <v>276</v>
      </c>
      <c r="F143" s="84">
        <v>-0.15579710144927536</v>
      </c>
      <c r="G143" s="84">
        <v>-1.8181818181818302E-2</v>
      </c>
      <c r="H143" s="84">
        <v>-6.0318275154003981E-2</v>
      </c>
      <c r="I143" s="10"/>
      <c r="J143" s="10"/>
      <c r="K143" s="10"/>
      <c r="L143" s="10"/>
      <c r="M143" s="10"/>
      <c r="N143" s="10"/>
      <c r="O143" s="10"/>
      <c r="P143" s="10"/>
    </row>
    <row r="144" spans="1:16" x14ac:dyDescent="0.25">
      <c r="A144" s="79">
        <v>46173</v>
      </c>
      <c r="B144" s="130">
        <v>217</v>
      </c>
      <c r="C144" s="97">
        <v>259.42857142857144</v>
      </c>
      <c r="D144" s="97">
        <v>274.30769230769232</v>
      </c>
      <c r="E144" s="99">
        <v>254</v>
      </c>
      <c r="F144" s="84">
        <v>-0.14566929133858267</v>
      </c>
      <c r="G144" s="84">
        <v>-3.2930845225026509E-3</v>
      </c>
      <c r="H144" s="84">
        <v>-6.4533053515215058E-2</v>
      </c>
      <c r="I144" s="10"/>
      <c r="J144" s="10"/>
      <c r="K144" s="10"/>
      <c r="L144" s="10"/>
      <c r="M144" s="10"/>
      <c r="N144" s="10"/>
      <c r="O144" s="10"/>
      <c r="P144" s="10"/>
    </row>
    <row r="145" spans="1:16" x14ac:dyDescent="0.25">
      <c r="A145" s="79">
        <v>46180</v>
      </c>
      <c r="B145" s="130">
        <v>261</v>
      </c>
      <c r="C145" s="97">
        <v>262.28571428571428</v>
      </c>
      <c r="D145" s="97">
        <v>270.92307692307691</v>
      </c>
      <c r="E145" s="99">
        <v>264</v>
      </c>
      <c r="F145" s="84">
        <v>-1.1363636363636364E-2</v>
      </c>
      <c r="G145" s="84">
        <v>1.6048699501936783E-2</v>
      </c>
      <c r="H145" s="84">
        <v>-5.6522903830699162E-2</v>
      </c>
      <c r="I145" s="10"/>
      <c r="J145" s="10"/>
      <c r="K145" s="10"/>
      <c r="L145" s="10"/>
      <c r="M145" s="10"/>
      <c r="N145" s="10"/>
      <c r="O145" s="10"/>
      <c r="P145" s="10"/>
    </row>
    <row r="146" spans="1:16" x14ac:dyDescent="0.25">
      <c r="A146" s="79">
        <v>46187</v>
      </c>
      <c r="B146" s="130">
        <v>245</v>
      </c>
      <c r="C146" s="97">
        <v>256</v>
      </c>
      <c r="D146" s="97">
        <v>264.30769230769232</v>
      </c>
      <c r="E146" s="99">
        <v>255</v>
      </c>
      <c r="F146" s="84">
        <v>-3.9215686274509803E-2</v>
      </c>
      <c r="G146" s="84">
        <v>-2.2367703218766959E-2</v>
      </c>
      <c r="H146" s="84">
        <v>-5.2137931034482783E-2</v>
      </c>
      <c r="I146" s="10"/>
      <c r="J146" s="10"/>
      <c r="K146" s="10"/>
      <c r="L146" s="10"/>
      <c r="M146" s="10"/>
      <c r="N146" s="10"/>
      <c r="O146" s="10"/>
      <c r="P146" s="10"/>
    </row>
    <row r="147" spans="1:16" x14ac:dyDescent="0.25">
      <c r="A147" s="79">
        <v>46194</v>
      </c>
      <c r="B147" s="130">
        <v>224</v>
      </c>
      <c r="C147" s="97">
        <v>249.57142857142858</v>
      </c>
      <c r="D147" s="97">
        <v>259.46153846153845</v>
      </c>
      <c r="E147" s="99">
        <v>263</v>
      </c>
      <c r="F147" s="84">
        <v>-0.14828897338403041</v>
      </c>
      <c r="G147" s="84">
        <v>-5.0027188689505148E-2</v>
      </c>
      <c r="H147" s="84">
        <v>-4.4475920679886746E-2</v>
      </c>
      <c r="I147" s="10"/>
      <c r="J147" s="10"/>
      <c r="K147" s="10"/>
      <c r="L147" s="10"/>
      <c r="M147" s="10"/>
      <c r="N147" s="10"/>
      <c r="O147" s="10"/>
      <c r="P147" s="10"/>
    </row>
    <row r="148" spans="1:16" x14ac:dyDescent="0.25">
      <c r="A148" s="79">
        <v>46201</v>
      </c>
      <c r="B148" s="130">
        <v>213</v>
      </c>
      <c r="C148" s="97">
        <v>239.85714285714286</v>
      </c>
      <c r="D148" s="97">
        <v>250.53846153846155</v>
      </c>
      <c r="E148" s="99">
        <v>244</v>
      </c>
      <c r="F148" s="84">
        <v>-0.12704918032786885</v>
      </c>
      <c r="G148" s="84">
        <v>-7.7472527472527461E-2</v>
      </c>
      <c r="H148" s="84">
        <v>-5.9485994802194506E-2</v>
      </c>
      <c r="I148" s="10"/>
      <c r="J148" s="10"/>
      <c r="K148" s="10"/>
      <c r="L148" s="10"/>
      <c r="M148" s="10"/>
      <c r="N148" s="10"/>
      <c r="O148" s="10"/>
      <c r="P148" s="10"/>
    </row>
    <row r="149" spans="1:16" x14ac:dyDescent="0.25">
      <c r="A149" s="79">
        <v>46208</v>
      </c>
      <c r="B149" s="130">
        <v>237</v>
      </c>
      <c r="C149" s="97">
        <v>232.85714285714286</v>
      </c>
      <c r="D149" s="97">
        <v>248.69230769230768</v>
      </c>
      <c r="E149" s="99">
        <v>246</v>
      </c>
      <c r="F149" s="84">
        <v>-3.6585365853658534E-2</v>
      </c>
      <c r="G149" s="84">
        <v>-9.5449500554939004E-2</v>
      </c>
      <c r="H149" s="84">
        <v>-4.7997644287396973E-2</v>
      </c>
      <c r="I149" s="10"/>
      <c r="J149" s="10"/>
      <c r="K149" s="10"/>
      <c r="L149" s="10"/>
      <c r="M149" s="10"/>
      <c r="N149" s="10"/>
      <c r="O149" s="10"/>
      <c r="P149" s="10"/>
    </row>
    <row r="150" spans="1:16" x14ac:dyDescent="0.25">
      <c r="A150" s="79">
        <v>46215</v>
      </c>
      <c r="B150" s="130">
        <v>220</v>
      </c>
      <c r="C150" s="97">
        <v>231</v>
      </c>
      <c r="D150" s="97">
        <v>247.38461538461539</v>
      </c>
      <c r="E150" s="99">
        <v>248</v>
      </c>
      <c r="F150" s="84">
        <v>-0.11290322580645161</v>
      </c>
      <c r="G150" s="84">
        <v>-8.8500563697857901E-2</v>
      </c>
      <c r="H150" s="84">
        <v>-3.7701974865350145E-2</v>
      </c>
      <c r="I150" s="10"/>
      <c r="J150" s="10"/>
      <c r="K150" s="10"/>
      <c r="L150" s="10"/>
      <c r="M150" s="10"/>
      <c r="N150" s="10"/>
      <c r="O150" s="10"/>
      <c r="P150" s="10"/>
    </row>
    <row r="151" spans="1:16" x14ac:dyDescent="0.25">
      <c r="A151" s="79">
        <v>46222</v>
      </c>
      <c r="B151" s="130">
        <v>231</v>
      </c>
      <c r="C151" s="97">
        <v>233</v>
      </c>
      <c r="D151" s="97">
        <v>246.61538461538461</v>
      </c>
      <c r="E151" s="99">
        <v>251</v>
      </c>
      <c r="F151" s="84">
        <v>-7.9681274900398405E-2</v>
      </c>
      <c r="G151" s="84">
        <v>-7.9051383399209488E-2</v>
      </c>
      <c r="H151" s="84">
        <v>-3.2589016294508194E-2</v>
      </c>
      <c r="I151" s="10"/>
      <c r="J151" s="10"/>
      <c r="K151" s="10"/>
      <c r="L151" s="10"/>
      <c r="M151" s="10"/>
      <c r="N151" s="10"/>
      <c r="O151" s="10"/>
      <c r="P151" s="10"/>
    </row>
    <row r="152" spans="1:16" x14ac:dyDescent="0.25">
      <c r="A152" s="9"/>
      <c r="B152" s="126"/>
      <c r="C152" s="126"/>
      <c r="D152" s="126"/>
      <c r="E152" s="126"/>
      <c r="F152" s="127"/>
      <c r="G152" s="127"/>
      <c r="H152" s="127"/>
      <c r="I152" s="10"/>
      <c r="J152" s="10"/>
      <c r="K152" s="10"/>
      <c r="L152" s="10"/>
      <c r="M152" s="10"/>
      <c r="N152" s="10"/>
      <c r="O152" s="10"/>
      <c r="P152" s="10"/>
    </row>
    <row r="153" spans="1:16" outlineLevel="1" x14ac:dyDescent="0.25">
      <c r="A153" s="9" t="s">
        <v>59</v>
      </c>
      <c r="B153" s="64" t="s">
        <v>116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spans="1:16" outlineLevel="1" x14ac:dyDescent="0.25">
      <c r="A154" s="9" t="s">
        <v>61</v>
      </c>
      <c r="B154" s="65">
        <v>3</v>
      </c>
      <c r="C154" s="65">
        <v>4</v>
      </c>
      <c r="D154" s="65">
        <v>6</v>
      </c>
      <c r="E154" s="65">
        <v>9</v>
      </c>
      <c r="F154" s="65">
        <v>10</v>
      </c>
      <c r="G154" s="65">
        <v>14</v>
      </c>
      <c r="H154" s="65">
        <v>15</v>
      </c>
      <c r="I154" s="65">
        <v>16</v>
      </c>
      <c r="J154" s="65">
        <v>17</v>
      </c>
      <c r="K154" s="10"/>
      <c r="L154" s="10"/>
      <c r="M154" s="10"/>
      <c r="N154" s="10"/>
      <c r="O154" s="10"/>
      <c r="P154" s="10"/>
    </row>
    <row r="155" spans="1:16" ht="18.75" x14ac:dyDescent="0.3">
      <c r="A155" s="66" t="s">
        <v>117</v>
      </c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</row>
    <row r="156" spans="1:16" x14ac:dyDescent="0.25">
      <c r="A156" s="67" t="s">
        <v>63</v>
      </c>
      <c r="B156" s="128" t="s">
        <v>3</v>
      </c>
      <c r="C156" s="89"/>
      <c r="D156" s="89"/>
      <c r="E156" s="89"/>
      <c r="F156" s="89"/>
      <c r="G156" s="70" t="s">
        <v>65</v>
      </c>
      <c r="H156" s="71"/>
      <c r="I156" s="71"/>
      <c r="J156" s="72"/>
      <c r="K156" s="10"/>
      <c r="L156" s="10"/>
      <c r="M156" s="10"/>
      <c r="N156" s="10"/>
      <c r="O156" s="78"/>
      <c r="P156" s="78"/>
    </row>
    <row r="157" spans="1:16" ht="29.25" customHeight="1" x14ac:dyDescent="0.25">
      <c r="A157" s="73"/>
      <c r="B157" s="131" t="s">
        <v>118</v>
      </c>
      <c r="C157" s="131" t="s">
        <v>119</v>
      </c>
      <c r="D157" s="132" t="s">
        <v>120</v>
      </c>
      <c r="E157" s="133" t="s">
        <v>70</v>
      </c>
      <c r="F157" s="133" t="s">
        <v>71</v>
      </c>
      <c r="G157" s="76" t="s">
        <v>121</v>
      </c>
      <c r="H157" s="77" t="s">
        <v>73</v>
      </c>
      <c r="I157" s="77" t="s">
        <v>74</v>
      </c>
      <c r="J157" s="77" t="s">
        <v>75</v>
      </c>
      <c r="K157" s="10"/>
      <c r="L157" s="10"/>
      <c r="M157" s="10"/>
      <c r="N157" s="10"/>
      <c r="O157" s="10"/>
      <c r="P157" s="78"/>
    </row>
    <row r="158" spans="1:16" x14ac:dyDescent="0.25">
      <c r="A158" s="79">
        <v>46138</v>
      </c>
      <c r="B158" s="80">
        <v>18001.333333333336</v>
      </c>
      <c r="C158" s="110">
        <v>4675.5200000000004</v>
      </c>
      <c r="D158" s="134">
        <v>0.74026812828679356</v>
      </c>
      <c r="E158" s="135">
        <v>0.71057776712670295</v>
      </c>
      <c r="F158" s="135">
        <v>0.72295257784187716</v>
      </c>
      <c r="G158" s="136">
        <v>0.70793681135180042</v>
      </c>
      <c r="H158" s="84">
        <v>3.2331316934993137E-2</v>
      </c>
      <c r="I158" s="84">
        <v>1.1245584161143185E-2</v>
      </c>
      <c r="J158" s="84">
        <v>1.8201063285020469E-2</v>
      </c>
      <c r="K158" s="10"/>
      <c r="L158" s="10"/>
      <c r="M158" s="10"/>
      <c r="N158" s="10"/>
      <c r="O158" s="10"/>
      <c r="P158" s="78"/>
    </row>
    <row r="159" spans="1:16" x14ac:dyDescent="0.25">
      <c r="A159" s="79">
        <v>46145</v>
      </c>
      <c r="B159" s="80">
        <v>18951.125</v>
      </c>
      <c r="C159" s="110">
        <v>5661.09</v>
      </c>
      <c r="D159" s="134">
        <v>0.70127947549287972</v>
      </c>
      <c r="E159" s="135">
        <v>0.70705743360050033</v>
      </c>
      <c r="F159" s="135">
        <v>0.71966395782025327</v>
      </c>
      <c r="G159" s="136">
        <v>0.67568117193674282</v>
      </c>
      <c r="H159" s="84">
        <v>2.5598303556136903E-2</v>
      </c>
      <c r="I159" s="84">
        <v>1.4443565718138762E-2</v>
      </c>
      <c r="J159" s="84">
        <v>1.5606974229341097E-2</v>
      </c>
      <c r="K159" s="10"/>
      <c r="L159" s="10"/>
      <c r="M159" s="10"/>
      <c r="N159" s="10"/>
      <c r="O159" s="10"/>
      <c r="P159" s="78"/>
    </row>
    <row r="160" spans="1:16" x14ac:dyDescent="0.25">
      <c r="A160" s="79">
        <v>46152</v>
      </c>
      <c r="B160" s="80">
        <v>16372.375</v>
      </c>
      <c r="C160" s="110">
        <v>4794.08</v>
      </c>
      <c r="D160" s="134">
        <v>0.70718481588651616</v>
      </c>
      <c r="E160" s="135">
        <v>0.70266810291119308</v>
      </c>
      <c r="F160" s="135">
        <v>0.71547816139895881</v>
      </c>
      <c r="G160" s="136">
        <v>0.69752325703435847</v>
      </c>
      <c r="H160" s="84">
        <v>9.6615588521576923E-3</v>
      </c>
      <c r="I160" s="84">
        <v>6.0065416859736986E-3</v>
      </c>
      <c r="J160" s="84">
        <v>1.2446941373309373E-2</v>
      </c>
      <c r="K160" s="10"/>
      <c r="L160" s="10"/>
      <c r="M160" s="10"/>
      <c r="N160" s="10"/>
      <c r="O160" s="10"/>
      <c r="P160" s="78"/>
    </row>
    <row r="161" spans="1:16" x14ac:dyDescent="0.25">
      <c r="A161" s="79">
        <v>46159</v>
      </c>
      <c r="B161" s="80">
        <v>16711.074999999997</v>
      </c>
      <c r="C161" s="110">
        <v>5075.26</v>
      </c>
      <c r="D161" s="134">
        <v>0.69629362563449682</v>
      </c>
      <c r="E161" s="135">
        <v>0.69534384972817331</v>
      </c>
      <c r="F161" s="135">
        <v>0.71511907019736742</v>
      </c>
      <c r="G161" s="136">
        <v>0.70855223484197538</v>
      </c>
      <c r="H161" s="84">
        <v>-1.2258609207478566E-2</v>
      </c>
      <c r="I161" s="84">
        <v>-3.2287958370166292E-3</v>
      </c>
      <c r="J161" s="84">
        <v>1.2359964970090176E-2</v>
      </c>
      <c r="K161" s="10"/>
      <c r="L161" s="10"/>
      <c r="M161" s="10"/>
      <c r="N161" s="10"/>
      <c r="O161" s="10"/>
      <c r="P161" s="78"/>
    </row>
    <row r="162" spans="1:16" x14ac:dyDescent="0.25">
      <c r="A162" s="79">
        <v>46166</v>
      </c>
      <c r="B162" s="80">
        <v>15505.375</v>
      </c>
      <c r="C162" s="110">
        <v>4889.74</v>
      </c>
      <c r="D162" s="134">
        <v>0.68464226115137494</v>
      </c>
      <c r="E162" s="135">
        <v>0.70496481547355361</v>
      </c>
      <c r="F162" s="135">
        <v>0.70930978580255255</v>
      </c>
      <c r="G162" s="136">
        <v>0.66730118512695358</v>
      </c>
      <c r="H162" s="84">
        <v>1.7341076024421365E-2</v>
      </c>
      <c r="I162" s="84">
        <v>9.0892378583533606E-3</v>
      </c>
      <c r="J162" s="84">
        <v>1.3087315324082471E-2</v>
      </c>
      <c r="K162" s="10"/>
      <c r="L162" s="10"/>
      <c r="M162" s="10"/>
      <c r="N162" s="10"/>
      <c r="O162" s="10"/>
      <c r="P162" s="78"/>
    </row>
    <row r="163" spans="1:16" x14ac:dyDescent="0.25">
      <c r="A163" s="79">
        <v>46173</v>
      </c>
      <c r="B163" s="80">
        <v>16324.208333333334</v>
      </c>
      <c r="C163" s="110">
        <v>3752.6099999999997</v>
      </c>
      <c r="D163" s="134">
        <v>0.77011993945597168</v>
      </c>
      <c r="E163" s="135">
        <v>0.70551636573205267</v>
      </c>
      <c r="F163" s="135">
        <v>0.71239965636311908</v>
      </c>
      <c r="G163" s="136">
        <v>0.74959565940507678</v>
      </c>
      <c r="H163" s="84">
        <v>2.0524280050894905E-2</v>
      </c>
      <c r="I163" s="84">
        <v>2.3576224422159342E-3</v>
      </c>
      <c r="J163" s="84">
        <v>1.3189192710297393E-2</v>
      </c>
      <c r="K163" s="10"/>
      <c r="L163" s="10"/>
      <c r="M163" s="10"/>
      <c r="N163" s="10"/>
      <c r="O163" s="10"/>
      <c r="P163" s="78"/>
    </row>
    <row r="164" spans="1:16" x14ac:dyDescent="0.25">
      <c r="A164" s="79">
        <v>46180</v>
      </c>
      <c r="B164" s="80">
        <v>15338.833333333334</v>
      </c>
      <c r="C164" s="110">
        <v>4332.3599999999997</v>
      </c>
      <c r="D164" s="134">
        <v>0.71755609400975751</v>
      </c>
      <c r="E164" s="135">
        <v>0.7168990137522655</v>
      </c>
      <c r="F164" s="135">
        <v>0.71148086693541113</v>
      </c>
      <c r="G164" s="136">
        <v>0.65290967713951109</v>
      </c>
      <c r="H164" s="84">
        <v>6.4646416870246415E-2</v>
      </c>
      <c r="I164" s="84">
        <v>2.1376893868504387E-2</v>
      </c>
      <c r="J164" s="84">
        <v>1.4712530391569278E-2</v>
      </c>
      <c r="K164" s="10"/>
      <c r="L164" s="10"/>
      <c r="M164" s="10"/>
      <c r="N164" s="10"/>
      <c r="O164" s="10"/>
      <c r="P164" s="78"/>
    </row>
    <row r="165" spans="1:16" x14ac:dyDescent="0.25">
      <c r="A165" s="79">
        <v>46187</v>
      </c>
      <c r="B165" s="80">
        <v>14702.92</v>
      </c>
      <c r="C165" s="110">
        <v>4414</v>
      </c>
      <c r="D165" s="134">
        <v>0.69978752519907605</v>
      </c>
      <c r="E165" s="135">
        <v>0.71099708945454643</v>
      </c>
      <c r="F165" s="135">
        <v>0.70953868506835638</v>
      </c>
      <c r="G165" s="136">
        <v>0.73552495686828534</v>
      </c>
      <c r="H165" s="84">
        <v>-3.5737431669209285E-2</v>
      </c>
      <c r="I165" s="84">
        <v>1.0983213330784336E-2</v>
      </c>
      <c r="J165" s="84">
        <v>1.1900569714299092E-2</v>
      </c>
      <c r="K165" s="10"/>
      <c r="L165" s="10"/>
      <c r="M165" s="10"/>
      <c r="N165" s="10"/>
      <c r="O165" s="10"/>
      <c r="P165" s="78"/>
    </row>
    <row r="166" spans="1:16" x14ac:dyDescent="0.25">
      <c r="A166" s="79">
        <v>46194</v>
      </c>
      <c r="B166" s="80">
        <v>18260.62</v>
      </c>
      <c r="C166" s="110">
        <v>5454.6900000000005</v>
      </c>
      <c r="D166" s="134">
        <v>0.70128670329923071</v>
      </c>
      <c r="E166" s="135">
        <v>0.71105752332530003</v>
      </c>
      <c r="F166" s="135">
        <v>0.7065622740269889</v>
      </c>
      <c r="G166" s="136">
        <v>0.64304163886587429</v>
      </c>
      <c r="H166" s="84">
        <v>5.8245064433356419E-2</v>
      </c>
      <c r="I166" s="84">
        <v>1.3700129010555284E-2</v>
      </c>
      <c r="J166" s="84">
        <v>9.6061621514018647E-3</v>
      </c>
      <c r="K166" s="10"/>
      <c r="L166" s="10"/>
      <c r="M166" s="10"/>
      <c r="N166" s="10"/>
      <c r="O166" s="10"/>
      <c r="P166" s="78"/>
    </row>
    <row r="167" spans="1:16" x14ac:dyDescent="0.25">
      <c r="A167" s="79">
        <v>46201</v>
      </c>
      <c r="B167" s="80">
        <v>13418.21</v>
      </c>
      <c r="C167" s="110">
        <v>4382.2</v>
      </c>
      <c r="D167" s="134">
        <v>0.67341396505197038</v>
      </c>
      <c r="E167" s="135">
        <v>0.70705154856092145</v>
      </c>
      <c r="F167" s="135">
        <v>0.70119843679761162</v>
      </c>
      <c r="G167" s="136">
        <v>0.7312722780255041</v>
      </c>
      <c r="H167" s="84">
        <v>-5.7858312973533721E-2</v>
      </c>
      <c r="I167" s="84">
        <v>4.4783415867528653E-3</v>
      </c>
      <c r="J167" s="84">
        <v>1.3195231487516113E-3</v>
      </c>
      <c r="K167" s="10"/>
      <c r="L167" s="10"/>
      <c r="M167" s="10"/>
      <c r="N167" s="10"/>
      <c r="O167" s="10"/>
      <c r="P167" s="78"/>
    </row>
    <row r="168" spans="1:16" x14ac:dyDescent="0.25">
      <c r="A168" s="79">
        <v>46208</v>
      </c>
      <c r="B168" s="80">
        <v>14837.5</v>
      </c>
      <c r="C168" s="110">
        <v>4519.78</v>
      </c>
      <c r="D168" s="134">
        <v>0.69538129738837418</v>
      </c>
      <c r="E168" s="135">
        <v>0.70711261736421416</v>
      </c>
      <c r="F168" s="135">
        <v>0.70751230407182508</v>
      </c>
      <c r="G168" s="136">
        <v>0.73812943537204112</v>
      </c>
      <c r="H168" s="84">
        <v>-4.2748137983666945E-2</v>
      </c>
      <c r="I168" s="84">
        <v>2.976262364668969E-4</v>
      </c>
      <c r="J168" s="84">
        <v>3.835885861784627E-3</v>
      </c>
      <c r="K168" s="10"/>
      <c r="L168" s="10"/>
      <c r="M168" s="10"/>
      <c r="N168" s="10"/>
      <c r="O168" s="10"/>
      <c r="P168" s="78"/>
    </row>
    <row r="169" spans="1:16" x14ac:dyDescent="0.25">
      <c r="A169" s="79">
        <v>46215</v>
      </c>
      <c r="B169" s="80">
        <v>12852.380000000001</v>
      </c>
      <c r="C169" s="110">
        <v>5062.03</v>
      </c>
      <c r="D169" s="134">
        <v>0.60614065254839966</v>
      </c>
      <c r="E169" s="135">
        <v>0.69813430640214313</v>
      </c>
      <c r="F169" s="135">
        <v>0.69670007465164052</v>
      </c>
      <c r="G169" s="136">
        <v>0.6452327717520917</v>
      </c>
      <c r="H169" s="84">
        <v>-3.9092119203692044E-2</v>
      </c>
      <c r="I169" s="84">
        <v>-5.6231953355388997E-3</v>
      </c>
      <c r="J169" s="84">
        <v>-2.8629809659109773E-3</v>
      </c>
      <c r="K169" s="10"/>
      <c r="L169" s="10"/>
      <c r="M169" s="10"/>
      <c r="N169" s="10"/>
      <c r="O169" s="10"/>
      <c r="P169" s="78"/>
    </row>
    <row r="170" spans="1:16" x14ac:dyDescent="0.25">
      <c r="A170" s="79">
        <v>46222</v>
      </c>
      <c r="B170" s="80">
        <v>17201.55</v>
      </c>
      <c r="C170" s="110">
        <v>4417.21</v>
      </c>
      <c r="D170" s="134">
        <v>0.74320860620118545</v>
      </c>
      <c r="E170" s="135">
        <v>0.69438462907432197</v>
      </c>
      <c r="F170" s="135">
        <v>0.70533717774490823</v>
      </c>
      <c r="G170" s="136">
        <v>0.71494672850831953</v>
      </c>
      <c r="H170" s="84">
        <v>2.8261877692865922E-2</v>
      </c>
      <c r="I170" s="84">
        <v>-3.7224897866522388E-3</v>
      </c>
      <c r="J170" s="84">
        <v>5.3046924165480736E-3</v>
      </c>
      <c r="K170" s="10"/>
      <c r="L170" s="10"/>
      <c r="M170" s="10"/>
      <c r="N170" s="10"/>
      <c r="O170" s="10"/>
      <c r="P170" s="78"/>
    </row>
    <row r="171" spans="1:16" x14ac:dyDescent="0.25">
      <c r="A171" s="10"/>
      <c r="B171" s="126"/>
      <c r="C171" s="126"/>
      <c r="D171" s="127"/>
      <c r="E171" s="127"/>
      <c r="F171" s="127"/>
      <c r="G171" s="127"/>
      <c r="H171" s="127"/>
      <c r="I171" s="127"/>
      <c r="J171" s="127"/>
      <c r="K171" s="10"/>
      <c r="L171" s="10"/>
      <c r="M171" s="10"/>
      <c r="N171" s="10"/>
      <c r="O171" s="10"/>
      <c r="P171" s="78"/>
    </row>
    <row r="172" spans="1:16" outlineLevel="1" x14ac:dyDescent="0.25">
      <c r="A172" s="9" t="s">
        <v>59</v>
      </c>
      <c r="B172" s="64" t="s">
        <v>122</v>
      </c>
      <c r="C172" s="10"/>
      <c r="D172" s="10"/>
      <c r="E172" s="10"/>
      <c r="F172" s="10"/>
      <c r="G172" s="10"/>
      <c r="H172" s="10"/>
      <c r="I172" s="10"/>
      <c r="J172" s="10"/>
      <c r="K172" s="137" t="s">
        <v>123</v>
      </c>
      <c r="L172" s="137"/>
      <c r="M172" s="10"/>
      <c r="N172" s="10"/>
      <c r="O172" s="10"/>
      <c r="P172" s="10"/>
    </row>
    <row r="173" spans="1:16" outlineLevel="1" x14ac:dyDescent="0.25">
      <c r="A173" s="9" t="s">
        <v>61</v>
      </c>
      <c r="B173" s="65">
        <v>2</v>
      </c>
      <c r="C173" s="65">
        <v>3</v>
      </c>
      <c r="D173" s="65">
        <v>5</v>
      </c>
      <c r="E173" s="65">
        <v>8</v>
      </c>
      <c r="F173" s="65">
        <v>9</v>
      </c>
      <c r="G173" s="65">
        <v>11</v>
      </c>
      <c r="H173" s="65">
        <v>12</v>
      </c>
      <c r="I173" s="65">
        <v>13</v>
      </c>
      <c r="J173" s="65">
        <v>14</v>
      </c>
      <c r="K173" s="65">
        <v>10</v>
      </c>
      <c r="L173" s="65">
        <v>15</v>
      </c>
      <c r="M173" s="10"/>
      <c r="N173" s="10"/>
      <c r="O173" s="10"/>
      <c r="P173" s="10"/>
    </row>
    <row r="174" spans="1:16" ht="18.75" x14ac:dyDescent="0.3">
      <c r="A174" s="66" t="s">
        <v>124</v>
      </c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</row>
    <row r="175" spans="1:16" x14ac:dyDescent="0.25">
      <c r="A175" s="67" t="s">
        <v>63</v>
      </c>
      <c r="B175" s="138" t="s">
        <v>4</v>
      </c>
      <c r="C175" s="88"/>
      <c r="D175" s="88"/>
      <c r="E175" s="88"/>
      <c r="F175" s="88"/>
      <c r="G175" s="70" t="s">
        <v>65</v>
      </c>
      <c r="H175" s="71"/>
      <c r="I175" s="71"/>
      <c r="J175" s="72"/>
      <c r="K175" s="139" t="s">
        <v>125</v>
      </c>
      <c r="L175" s="140"/>
      <c r="M175" s="78"/>
      <c r="N175" s="78"/>
      <c r="O175" s="78"/>
      <c r="P175" s="78"/>
    </row>
    <row r="176" spans="1:16" ht="27" x14ac:dyDescent="0.25">
      <c r="A176" s="73"/>
      <c r="B176" s="103" t="s">
        <v>118</v>
      </c>
      <c r="C176" s="103" t="s">
        <v>119</v>
      </c>
      <c r="D176" s="141" t="s">
        <v>126</v>
      </c>
      <c r="E176" s="142" t="s">
        <v>70</v>
      </c>
      <c r="F176" s="142" t="s">
        <v>71</v>
      </c>
      <c r="G176" s="76" t="s">
        <v>121</v>
      </c>
      <c r="H176" s="77" t="s">
        <v>73</v>
      </c>
      <c r="I176" s="77" t="s">
        <v>74</v>
      </c>
      <c r="J176" s="77" t="s">
        <v>75</v>
      </c>
      <c r="K176" s="143" t="s">
        <v>127</v>
      </c>
      <c r="L176" s="144" t="s">
        <v>71</v>
      </c>
      <c r="M176" s="78"/>
      <c r="N176" s="78"/>
      <c r="O176" s="78"/>
      <c r="P176" s="78"/>
    </row>
    <row r="177" spans="1:16" x14ac:dyDescent="0.25">
      <c r="A177" s="79">
        <v>46138</v>
      </c>
      <c r="B177" s="80">
        <v>12554.583333333334</v>
      </c>
      <c r="C177" s="110">
        <v>3107.15</v>
      </c>
      <c r="D177" s="145">
        <v>0.75250871195778435</v>
      </c>
      <c r="E177" s="135">
        <v>0.69815301690018661</v>
      </c>
      <c r="F177" s="135">
        <v>0.7103618240606534</v>
      </c>
      <c r="G177" s="136">
        <v>0.70240626920712979</v>
      </c>
      <c r="H177" s="84">
        <v>5.0102442750654563E-2</v>
      </c>
      <c r="I177" s="84">
        <v>1.3318500805370337E-2</v>
      </c>
      <c r="J177" s="84">
        <v>1.3280909053453582E-2</v>
      </c>
      <c r="K177" s="146">
        <v>0.75570959647249214</v>
      </c>
      <c r="L177" s="135">
        <v>0.71430990467336597</v>
      </c>
      <c r="M177" s="78"/>
      <c r="N177" s="78"/>
      <c r="O177" s="78"/>
      <c r="P177" s="78"/>
    </row>
    <row r="178" spans="1:16" x14ac:dyDescent="0.25">
      <c r="A178" s="79">
        <v>46145</v>
      </c>
      <c r="B178" s="80">
        <v>12941.25</v>
      </c>
      <c r="C178" s="110">
        <v>4453.03</v>
      </c>
      <c r="D178" s="145">
        <v>0.65590418236260029</v>
      </c>
      <c r="E178" s="135">
        <v>0.69078591322507799</v>
      </c>
      <c r="F178" s="135">
        <v>0.70615819640126287</v>
      </c>
      <c r="G178" s="136">
        <v>0.65662953500255494</v>
      </c>
      <c r="H178" s="84">
        <v>-7.2535263995465726E-4</v>
      </c>
      <c r="I178" s="84">
        <v>1.3472731434597041E-2</v>
      </c>
      <c r="J178" s="84">
        <v>1.3579169303729821E-2</v>
      </c>
      <c r="K178" s="146">
        <v>0.66261729330429031</v>
      </c>
      <c r="L178" s="135">
        <v>0.70873217520570841</v>
      </c>
      <c r="M178" s="78"/>
      <c r="N178" s="78"/>
      <c r="O178" s="78"/>
      <c r="P178" s="78"/>
    </row>
    <row r="179" spans="1:16" x14ac:dyDescent="0.25">
      <c r="A179" s="79">
        <v>46152</v>
      </c>
      <c r="B179" s="80">
        <v>11437.333333333334</v>
      </c>
      <c r="C179" s="110">
        <v>3531.04</v>
      </c>
      <c r="D179" s="145">
        <v>0.691270692469107</v>
      </c>
      <c r="E179" s="135">
        <v>0.68563735328074338</v>
      </c>
      <c r="F179" s="135">
        <v>0.70517325040279888</v>
      </c>
      <c r="G179" s="136">
        <v>0.71482482606599151</v>
      </c>
      <c r="H179" s="84">
        <v>-2.3554133596884519E-2</v>
      </c>
      <c r="I179" s="84">
        <v>1.0936064833620973E-3</v>
      </c>
      <c r="J179" s="84">
        <v>1.3665023358848782E-2</v>
      </c>
      <c r="K179" s="146">
        <v>0.69278830677319725</v>
      </c>
      <c r="L179" s="135">
        <v>0.707868944800494</v>
      </c>
      <c r="M179" s="78"/>
      <c r="N179" s="78"/>
      <c r="O179" s="78"/>
      <c r="P179" s="78"/>
    </row>
    <row r="180" spans="1:16" x14ac:dyDescent="0.25">
      <c r="A180" s="79">
        <v>46159</v>
      </c>
      <c r="B180" s="80">
        <v>11485.941666666666</v>
      </c>
      <c r="C180" s="110">
        <v>3727.11</v>
      </c>
      <c r="D180" s="145">
        <v>0.67550679707729655</v>
      </c>
      <c r="E180" s="135">
        <v>0.68088965807921442</v>
      </c>
      <c r="F180" s="135">
        <v>0.70126088252054919</v>
      </c>
      <c r="G180" s="136">
        <v>0.69835414603150869</v>
      </c>
      <c r="H180" s="84">
        <v>-2.2847348954212143E-2</v>
      </c>
      <c r="I180" s="84">
        <v>-5.6499958405709094E-3</v>
      </c>
      <c r="J180" s="84">
        <v>1.0623301582096456E-2</v>
      </c>
      <c r="K180" s="146">
        <v>0.6785017895227915</v>
      </c>
      <c r="L180" s="135">
        <v>0.7039796904608745</v>
      </c>
      <c r="M180" s="78"/>
      <c r="N180" s="78"/>
      <c r="O180" s="78"/>
      <c r="P180" s="78"/>
    </row>
    <row r="181" spans="1:16" x14ac:dyDescent="0.25">
      <c r="A181" s="79">
        <v>46166</v>
      </c>
      <c r="B181" s="80">
        <v>10547.083333333334</v>
      </c>
      <c r="C181" s="110">
        <v>3435.75</v>
      </c>
      <c r="D181" s="145">
        <v>0.67424643463832812</v>
      </c>
      <c r="E181" s="135">
        <v>0.68745544954556126</v>
      </c>
      <c r="F181" s="135">
        <v>0.69582919495835327</v>
      </c>
      <c r="G181" s="136">
        <v>0.64799186131683895</v>
      </c>
      <c r="H181" s="84">
        <v>2.6254573321489172E-2</v>
      </c>
      <c r="I181" s="84">
        <v>9.7724071453830774E-4</v>
      </c>
      <c r="J181" s="84">
        <v>9.6323875080305266E-3</v>
      </c>
      <c r="K181" s="146">
        <v>0.67424643463832812</v>
      </c>
      <c r="L181" s="135">
        <v>0.69865284308207043</v>
      </c>
      <c r="M181" s="78"/>
      <c r="N181" s="78"/>
      <c r="O181" s="78"/>
      <c r="P181" s="78"/>
    </row>
    <row r="182" spans="1:16" x14ac:dyDescent="0.25">
      <c r="A182" s="79">
        <v>46173</v>
      </c>
      <c r="B182" s="80">
        <v>11379.583333333334</v>
      </c>
      <c r="C182" s="110">
        <v>2588.31</v>
      </c>
      <c r="D182" s="145">
        <v>0.7725479110980924</v>
      </c>
      <c r="E182" s="135">
        <v>0.69159742802104773</v>
      </c>
      <c r="F182" s="135">
        <v>0.69761130829002582</v>
      </c>
      <c r="G182" s="136">
        <v>0.75620745895400665</v>
      </c>
      <c r="H182" s="84">
        <v>1.6340452144085749E-2</v>
      </c>
      <c r="I182" s="84">
        <v>-3.8074435619304126E-3</v>
      </c>
      <c r="J182" s="84">
        <v>7.9739837088321774E-3</v>
      </c>
      <c r="K182" s="146">
        <v>0.773136024658715</v>
      </c>
      <c r="L182" s="135">
        <v>0.7001676429609669</v>
      </c>
      <c r="M182" s="78"/>
      <c r="N182" s="78"/>
      <c r="O182" s="78"/>
      <c r="P182" s="78"/>
    </row>
    <row r="183" spans="1:16" x14ac:dyDescent="0.25">
      <c r="A183" s="79">
        <v>46180</v>
      </c>
      <c r="B183" s="80">
        <v>10600</v>
      </c>
      <c r="C183" s="110">
        <v>3237.56</v>
      </c>
      <c r="D183" s="145">
        <v>0.69456981132075479</v>
      </c>
      <c r="E183" s="135">
        <v>0.70251751867222223</v>
      </c>
      <c r="F183" s="135">
        <v>0.69606133850525054</v>
      </c>
      <c r="G183" s="136">
        <v>0.64137884269500323</v>
      </c>
      <c r="H183" s="84">
        <v>5.3190968625751567E-2</v>
      </c>
      <c r="I183" s="84">
        <v>1.333087933702326E-2</v>
      </c>
      <c r="J183" s="84">
        <v>1.0336554587729974E-2</v>
      </c>
      <c r="K183" s="146">
        <v>0.69456981132075479</v>
      </c>
      <c r="L183" s="135">
        <v>0.69830464369508471</v>
      </c>
      <c r="M183" s="78"/>
      <c r="N183" s="78"/>
      <c r="O183" s="78"/>
      <c r="P183" s="78"/>
    </row>
    <row r="184" spans="1:16" x14ac:dyDescent="0.25">
      <c r="A184" s="79">
        <v>46187</v>
      </c>
      <c r="B184" s="80">
        <v>10288.75</v>
      </c>
      <c r="C184" s="110">
        <v>3169</v>
      </c>
      <c r="D184" s="145">
        <v>0.69199368242011905</v>
      </c>
      <c r="E184" s="135">
        <v>0.69316449035665906</v>
      </c>
      <c r="F184" s="135">
        <v>0.69490666601130835</v>
      </c>
      <c r="G184" s="136">
        <v>0.71328748292416944</v>
      </c>
      <c r="H184" s="84">
        <v>-2.1293800504050386E-2</v>
      </c>
      <c r="I184" s="84">
        <v>2.1297720781969787E-3</v>
      </c>
      <c r="J184" s="84">
        <v>9.0946612543671979E-3</v>
      </c>
      <c r="K184" s="146">
        <v>0.6934387772376599</v>
      </c>
      <c r="L184" s="135">
        <v>0.69663237172496351</v>
      </c>
      <c r="M184" s="78"/>
      <c r="N184" s="78"/>
      <c r="O184" s="78"/>
      <c r="P184" s="78"/>
    </row>
    <row r="185" spans="1:16" x14ac:dyDescent="0.25">
      <c r="A185" s="79">
        <v>46194</v>
      </c>
      <c r="B185" s="80">
        <v>12448.33</v>
      </c>
      <c r="C185" s="110">
        <v>3872</v>
      </c>
      <c r="D185" s="145">
        <v>0.68895426133465287</v>
      </c>
      <c r="E185" s="135">
        <v>0.69866136990808769</v>
      </c>
      <c r="F185" s="135">
        <v>0.69180188488690186</v>
      </c>
      <c r="G185" s="136">
        <v>0.68430353579286707</v>
      </c>
      <c r="H185" s="84">
        <v>4.6507255417858051E-3</v>
      </c>
      <c r="I185" s="84">
        <v>3.311837071152568E-3</v>
      </c>
      <c r="J185" s="84">
        <v>3.7483518559759954E-3</v>
      </c>
      <c r="K185" s="146">
        <v>0.69145271425190424</v>
      </c>
      <c r="L185" s="135">
        <v>0.6937460483683725</v>
      </c>
      <c r="M185" s="78"/>
      <c r="N185" s="78"/>
      <c r="O185" s="78"/>
      <c r="P185" s="78"/>
    </row>
    <row r="186" spans="1:16" x14ac:dyDescent="0.25">
      <c r="A186" s="79">
        <v>46201</v>
      </c>
      <c r="B186" s="80">
        <v>9080</v>
      </c>
      <c r="C186" s="110">
        <v>2883.56</v>
      </c>
      <c r="D186" s="145">
        <v>0.68242731277533042</v>
      </c>
      <c r="E186" s="135">
        <v>0.697832201297236</v>
      </c>
      <c r="F186" s="135">
        <v>0.68984245691363411</v>
      </c>
      <c r="G186" s="136">
        <v>0.72818343431411681</v>
      </c>
      <c r="H186" s="84">
        <v>-4.5756121538786387E-2</v>
      </c>
      <c r="I186" s="84">
        <v>-2.1668580898426271E-4</v>
      </c>
      <c r="J186" s="84">
        <v>-1.7987362634044324E-3</v>
      </c>
      <c r="K186" s="146">
        <v>0.68598419880538186</v>
      </c>
      <c r="L186" s="135">
        <v>0.69206412076000712</v>
      </c>
      <c r="M186" s="78"/>
      <c r="N186" s="78"/>
      <c r="O186" s="78"/>
      <c r="P186" s="78"/>
    </row>
    <row r="187" spans="1:16" x14ac:dyDescent="0.25">
      <c r="A187" s="79">
        <v>46208</v>
      </c>
      <c r="B187" s="80">
        <v>10588.75</v>
      </c>
      <c r="C187" s="110">
        <v>3585.25</v>
      </c>
      <c r="D187" s="145">
        <v>0.66140951481525201</v>
      </c>
      <c r="E187" s="135">
        <v>0.69610741650184793</v>
      </c>
      <c r="F187" s="135">
        <v>0.69275781065052833</v>
      </c>
      <c r="G187" s="136">
        <v>0.6976899946089492</v>
      </c>
      <c r="H187" s="84">
        <v>-3.6280479793697196E-2</v>
      </c>
      <c r="I187" s="84">
        <v>-1.8442500792406058E-3</v>
      </c>
      <c r="J187" s="84">
        <v>-2.5357694190136781E-3</v>
      </c>
      <c r="K187" s="146">
        <v>0.66453016444829116</v>
      </c>
      <c r="L187" s="135">
        <v>0.69518668057836353</v>
      </c>
      <c r="M187" s="78"/>
      <c r="N187" s="78"/>
      <c r="O187" s="78"/>
      <c r="P187" s="78"/>
    </row>
    <row r="188" spans="1:16" x14ac:dyDescent="0.25">
      <c r="A188" s="79">
        <v>46215</v>
      </c>
      <c r="B188" s="80">
        <v>8747.92</v>
      </c>
      <c r="C188" s="110">
        <v>3636.72</v>
      </c>
      <c r="D188" s="145">
        <v>0.58427603361713421</v>
      </c>
      <c r="E188" s="135">
        <v>0.68588331814038284</v>
      </c>
      <c r="F188" s="135">
        <v>0.68228457861793279</v>
      </c>
      <c r="G188" s="136">
        <v>0.62357180907865706</v>
      </c>
      <c r="H188" s="84">
        <v>-3.9295775461522853E-2</v>
      </c>
      <c r="I188" s="84">
        <v>-8.7208515133802011E-3</v>
      </c>
      <c r="J188" s="84">
        <v>-7.642891049265188E-3</v>
      </c>
      <c r="K188" s="146">
        <v>0.59343862037971762</v>
      </c>
      <c r="L188" s="135">
        <v>0.68530659079935707</v>
      </c>
      <c r="M188" s="78"/>
      <c r="N188" s="78"/>
      <c r="O188" s="78"/>
      <c r="P188" s="78"/>
    </row>
    <row r="189" spans="1:16" x14ac:dyDescent="0.25">
      <c r="A189" s="79">
        <v>46222</v>
      </c>
      <c r="B189" s="80">
        <v>11790.42</v>
      </c>
      <c r="C189" s="110">
        <v>3339.52</v>
      </c>
      <c r="D189" s="145">
        <v>0.7167598779347979</v>
      </c>
      <c r="E189" s="135">
        <v>0.67742364894457308</v>
      </c>
      <c r="F189" s="135">
        <v>0.69027717676867562</v>
      </c>
      <c r="G189" s="136">
        <v>0.71234281796366128</v>
      </c>
      <c r="H189" s="84">
        <v>4.4170599711366165E-3</v>
      </c>
      <c r="I189" s="84">
        <v>-1.0128101033366699E-2</v>
      </c>
      <c r="J189" s="84">
        <v>-1.569420900020102E-3</v>
      </c>
      <c r="K189" s="146">
        <v>0.71873865633766987</v>
      </c>
      <c r="L189" s="135">
        <v>0.69293563516542223</v>
      </c>
      <c r="M189" s="78"/>
      <c r="N189" s="78"/>
      <c r="O189" s="78"/>
      <c r="P189" s="78"/>
    </row>
    <row r="190" spans="1:16" x14ac:dyDescent="0.25">
      <c r="A190" s="9"/>
      <c r="B190" s="126"/>
      <c r="C190" s="126"/>
      <c r="D190" s="127"/>
      <c r="E190" s="127"/>
      <c r="F190" s="127"/>
      <c r="G190" s="127"/>
      <c r="H190" s="127"/>
      <c r="I190" s="127"/>
      <c r="J190" s="127"/>
      <c r="K190" s="127"/>
      <c r="L190" s="127"/>
      <c r="M190" s="10"/>
      <c r="N190" s="10"/>
      <c r="O190" s="10"/>
      <c r="P190" s="10"/>
    </row>
    <row r="191" spans="1:16" outlineLevel="1" x14ac:dyDescent="0.25">
      <c r="A191" s="9" t="s">
        <v>59</v>
      </c>
      <c r="B191" s="64" t="s">
        <v>122</v>
      </c>
      <c r="C191" s="10"/>
      <c r="D191" s="10"/>
      <c r="E191" s="10"/>
      <c r="F191" s="10"/>
      <c r="G191" s="10"/>
      <c r="H191" s="10"/>
      <c r="I191" s="10"/>
      <c r="J191" s="10"/>
      <c r="K191" s="137" t="s">
        <v>123</v>
      </c>
      <c r="L191" s="137"/>
      <c r="M191" s="10"/>
      <c r="N191" s="10"/>
      <c r="O191" s="10"/>
      <c r="P191" s="10"/>
    </row>
    <row r="192" spans="1:16" outlineLevel="1" x14ac:dyDescent="0.25">
      <c r="A192" s="9" t="s">
        <v>61</v>
      </c>
      <c r="B192" s="65">
        <v>17</v>
      </c>
      <c r="C192" s="65">
        <v>18</v>
      </c>
      <c r="D192" s="65">
        <v>20</v>
      </c>
      <c r="E192" s="65">
        <v>23</v>
      </c>
      <c r="F192" s="65">
        <v>24</v>
      </c>
      <c r="G192" s="65">
        <v>27</v>
      </c>
      <c r="H192" s="65">
        <v>28</v>
      </c>
      <c r="I192" s="65">
        <v>29</v>
      </c>
      <c r="J192" s="65">
        <v>30</v>
      </c>
      <c r="K192" s="65">
        <v>30</v>
      </c>
      <c r="L192" s="65">
        <v>35</v>
      </c>
      <c r="M192" s="10"/>
      <c r="N192" s="10"/>
      <c r="O192" s="10"/>
      <c r="P192" s="10"/>
    </row>
    <row r="193" spans="1:16" ht="18.75" x14ac:dyDescent="0.3">
      <c r="A193" s="66" t="s">
        <v>128</v>
      </c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</row>
    <row r="194" spans="1:16" x14ac:dyDescent="0.25">
      <c r="A194" s="67" t="s">
        <v>63</v>
      </c>
      <c r="B194" s="147" t="s">
        <v>5</v>
      </c>
      <c r="C194" s="148"/>
      <c r="D194" s="148"/>
      <c r="E194" s="148"/>
      <c r="F194" s="148"/>
      <c r="G194" s="70" t="s">
        <v>65</v>
      </c>
      <c r="H194" s="71"/>
      <c r="I194" s="71"/>
      <c r="J194" s="72"/>
      <c r="K194" s="149" t="s">
        <v>129</v>
      </c>
      <c r="L194" s="150"/>
      <c r="M194" s="10"/>
      <c r="N194" s="10"/>
      <c r="O194" s="78"/>
      <c r="P194" s="78"/>
    </row>
    <row r="195" spans="1:16" ht="27" x14ac:dyDescent="0.25">
      <c r="A195" s="73"/>
      <c r="B195" s="117" t="s">
        <v>118</v>
      </c>
      <c r="C195" s="117" t="s">
        <v>119</v>
      </c>
      <c r="D195" s="151" t="s">
        <v>130</v>
      </c>
      <c r="E195" s="152" t="s">
        <v>70</v>
      </c>
      <c r="F195" s="152" t="s">
        <v>71</v>
      </c>
      <c r="G195" s="76" t="s">
        <v>121</v>
      </c>
      <c r="H195" s="77" t="s">
        <v>73</v>
      </c>
      <c r="I195" s="77" t="s">
        <v>74</v>
      </c>
      <c r="J195" s="77" t="s">
        <v>75</v>
      </c>
      <c r="K195" s="153" t="s">
        <v>131</v>
      </c>
      <c r="L195" s="154" t="s">
        <v>71</v>
      </c>
      <c r="M195" s="10"/>
      <c r="N195" s="10"/>
      <c r="O195" s="10"/>
      <c r="P195" s="78"/>
    </row>
    <row r="196" spans="1:16" x14ac:dyDescent="0.25">
      <c r="A196" s="79">
        <v>46138</v>
      </c>
      <c r="B196" s="80">
        <v>5446.7500000000009</v>
      </c>
      <c r="C196" s="110">
        <v>1568.37</v>
      </c>
      <c r="D196" s="155">
        <v>0.71205397714233265</v>
      </c>
      <c r="E196" s="135">
        <v>0.7379383042540113</v>
      </c>
      <c r="F196" s="135">
        <v>0.75059801998296116</v>
      </c>
      <c r="G196" s="136">
        <v>0.72127067627391783</v>
      </c>
      <c r="H196" s="84">
        <v>-9.2166991315851821E-3</v>
      </c>
      <c r="I196" s="84">
        <v>5.1568549408168574E-3</v>
      </c>
      <c r="J196" s="84">
        <v>2.794772017796987E-2</v>
      </c>
      <c r="K196" s="156">
        <v>0.71946804514640395</v>
      </c>
      <c r="L196" s="135">
        <v>0.75545130120566761</v>
      </c>
      <c r="M196" s="10"/>
      <c r="N196" s="10"/>
      <c r="O196" s="10"/>
      <c r="P196" s="78"/>
    </row>
    <row r="197" spans="1:16" x14ac:dyDescent="0.25">
      <c r="A197" s="79">
        <v>46145</v>
      </c>
      <c r="B197" s="80">
        <v>6009.8750000000009</v>
      </c>
      <c r="C197" s="110">
        <v>1208.06</v>
      </c>
      <c r="D197" s="155">
        <v>0.79898749974001115</v>
      </c>
      <c r="E197" s="135">
        <v>0.74263294442691696</v>
      </c>
      <c r="F197" s="135">
        <v>0.74929105936271723</v>
      </c>
      <c r="G197" s="136">
        <v>0.71827242291368276</v>
      </c>
      <c r="H197" s="84">
        <v>8.0715076826328391E-2</v>
      </c>
      <c r="I197" s="84">
        <v>1.4848337555097291E-2</v>
      </c>
      <c r="J197" s="84">
        <v>1.8491118018815866E-2</v>
      </c>
      <c r="K197" s="156">
        <v>0.80238904360556662</v>
      </c>
      <c r="L197" s="135">
        <v>0.75438811943507122</v>
      </c>
      <c r="M197" s="10"/>
      <c r="N197" s="10"/>
      <c r="O197" s="10"/>
      <c r="P197" s="78"/>
    </row>
    <row r="198" spans="1:16" x14ac:dyDescent="0.25">
      <c r="A198" s="79">
        <v>46152</v>
      </c>
      <c r="B198" s="80">
        <v>4935.041666666667</v>
      </c>
      <c r="C198" s="110">
        <v>1263.04</v>
      </c>
      <c r="D198" s="155">
        <v>0.74406700382468915</v>
      </c>
      <c r="E198" s="135">
        <v>0.74004953896334047</v>
      </c>
      <c r="F198" s="135">
        <v>0.73823334350905689</v>
      </c>
      <c r="G198" s="136">
        <v>0.65854881757805228</v>
      </c>
      <c r="H198" s="84">
        <v>8.5518186246636874E-2</v>
      </c>
      <c r="I198" s="84">
        <v>1.5897764998020758E-2</v>
      </c>
      <c r="J198" s="84">
        <v>8.5324313378253303E-3</v>
      </c>
      <c r="K198" s="156">
        <v>0.74719186022267636</v>
      </c>
      <c r="L198" s="135">
        <v>0.74335974222457091</v>
      </c>
      <c r="M198" s="10"/>
      <c r="N198" s="10"/>
      <c r="O198" s="10"/>
      <c r="P198" s="78"/>
    </row>
    <row r="199" spans="1:16" x14ac:dyDescent="0.25">
      <c r="A199" s="79">
        <v>46159</v>
      </c>
      <c r="B199" s="80">
        <v>5225.1333333333332</v>
      </c>
      <c r="C199" s="110">
        <v>1348.15</v>
      </c>
      <c r="D199" s="155">
        <v>0.74198744529645178</v>
      </c>
      <c r="E199" s="135">
        <v>0.72793555679225797</v>
      </c>
      <c r="F199" s="135">
        <v>0.74535840064038317</v>
      </c>
      <c r="G199" s="136">
        <v>0.73197057738028826</v>
      </c>
      <c r="H199" s="84">
        <v>1.0016867916163519E-2</v>
      </c>
      <c r="I199" s="84">
        <v>2.3502921005214006E-3</v>
      </c>
      <c r="J199" s="84">
        <v>1.4905152860650861E-2</v>
      </c>
      <c r="K199" s="156">
        <v>0.75005762743078064</v>
      </c>
      <c r="L199" s="135">
        <v>0.75090712311780361</v>
      </c>
      <c r="M199" s="10"/>
      <c r="N199" s="10"/>
      <c r="O199" s="10"/>
      <c r="P199" s="78"/>
    </row>
    <row r="200" spans="1:16" x14ac:dyDescent="0.25">
      <c r="A200" s="79">
        <v>46166</v>
      </c>
      <c r="B200" s="80">
        <v>4958.291666666667</v>
      </c>
      <c r="C200" s="110">
        <v>1453.99</v>
      </c>
      <c r="D200" s="155">
        <v>0.7067558550912193</v>
      </c>
      <c r="E200" s="135">
        <v>0.74370575601496913</v>
      </c>
      <c r="F200" s="135">
        <v>0.73885828566288669</v>
      </c>
      <c r="G200" s="136">
        <v>0.71128062061486852</v>
      </c>
      <c r="H200" s="84">
        <v>-4.5247655236492212E-3</v>
      </c>
      <c r="I200" s="84">
        <v>2.6645030722306062E-2</v>
      </c>
      <c r="J200" s="84">
        <v>1.9696377778456675E-2</v>
      </c>
      <c r="K200" s="156">
        <v>0.7123256638335409</v>
      </c>
      <c r="L200" s="135">
        <v>0.744664328619563</v>
      </c>
      <c r="M200" s="10"/>
      <c r="N200" s="10"/>
      <c r="O200" s="10"/>
      <c r="P200" s="78"/>
    </row>
    <row r="201" spans="1:16" x14ac:dyDescent="0.25">
      <c r="A201" s="79">
        <v>46173</v>
      </c>
      <c r="B201" s="80">
        <v>4944.625</v>
      </c>
      <c r="C201" s="110">
        <v>1164.3</v>
      </c>
      <c r="D201" s="155">
        <v>0.76453219404909367</v>
      </c>
      <c r="E201" s="135">
        <v>0.73662127125760291</v>
      </c>
      <c r="F201" s="135">
        <v>0.74497242784998807</v>
      </c>
      <c r="G201" s="136">
        <v>0.73529187608301905</v>
      </c>
      <c r="H201" s="84">
        <v>2.9240317966074625E-2</v>
      </c>
      <c r="I201" s="84">
        <v>1.6051226415871755E-2</v>
      </c>
      <c r="J201" s="84">
        <v>2.387864366758996E-2</v>
      </c>
      <c r="K201" s="156">
        <v>0.76843790553945135</v>
      </c>
      <c r="L201" s="135">
        <v>0.75059982350089294</v>
      </c>
      <c r="M201" s="10"/>
      <c r="N201" s="10"/>
      <c r="O201" s="10"/>
      <c r="P201" s="78"/>
    </row>
    <row r="202" spans="1:16" x14ac:dyDescent="0.25">
      <c r="A202" s="79">
        <v>46180</v>
      </c>
      <c r="B202" s="80">
        <v>4738.8333333333339</v>
      </c>
      <c r="C202" s="110">
        <v>1094.8</v>
      </c>
      <c r="D202" s="155">
        <v>0.76897267259874091</v>
      </c>
      <c r="E202" s="135">
        <v>0.74900513120353684</v>
      </c>
      <c r="F202" s="135">
        <v>0.74555325195469291</v>
      </c>
      <c r="G202" s="136">
        <v>0.67973528280107742</v>
      </c>
      <c r="H202" s="84">
        <v>8.9237389797663491E-2</v>
      </c>
      <c r="I202" s="84">
        <v>3.9054153596800867E-2</v>
      </c>
      <c r="J202" s="84">
        <v>2.3553053852927608E-2</v>
      </c>
      <c r="K202" s="156">
        <v>0.77126540845462777</v>
      </c>
      <c r="L202" s="135">
        <v>0.75044682212939562</v>
      </c>
      <c r="M202" s="10"/>
      <c r="N202" s="10"/>
      <c r="O202" s="10"/>
      <c r="P202" s="78"/>
    </row>
    <row r="203" spans="1:16" x14ac:dyDescent="0.25">
      <c r="A203" s="79">
        <v>46187</v>
      </c>
      <c r="B203" s="80">
        <v>4414.17</v>
      </c>
      <c r="C203" s="110">
        <v>1245</v>
      </c>
      <c r="D203" s="155">
        <v>0.71795377160372165</v>
      </c>
      <c r="E203" s="135">
        <v>0.75082758544335326</v>
      </c>
      <c r="F203" s="135">
        <v>0.74191863273915004</v>
      </c>
      <c r="G203" s="136">
        <v>0.78577048385140869</v>
      </c>
      <c r="H203" s="84">
        <v>-6.7816712247687039E-2</v>
      </c>
      <c r="I203" s="84">
        <v>3.0553024365158055E-2</v>
      </c>
      <c r="J203" s="84">
        <v>1.7298572186820516E-2</v>
      </c>
      <c r="K203" s="156">
        <v>0.71795377160372165</v>
      </c>
      <c r="L203" s="135">
        <v>0.74568249707682077</v>
      </c>
      <c r="M203" s="10"/>
      <c r="N203" s="10"/>
      <c r="O203" s="10"/>
      <c r="P203" s="78"/>
    </row>
    <row r="204" spans="1:16" x14ac:dyDescent="0.25">
      <c r="A204" s="79">
        <v>46194</v>
      </c>
      <c r="B204" s="80">
        <v>5812.29</v>
      </c>
      <c r="C204" s="110">
        <v>1582.69</v>
      </c>
      <c r="D204" s="155">
        <v>0.72769940935500477</v>
      </c>
      <c r="E204" s="135">
        <v>0.73872703523157002</v>
      </c>
      <c r="F204" s="135">
        <v>0.73910693607910616</v>
      </c>
      <c r="G204" s="136">
        <v>0.53878258171286719</v>
      </c>
      <c r="H204" s="84">
        <v>0.18891682764213757</v>
      </c>
      <c r="I204" s="84">
        <v>3.6777045581833478E-2</v>
      </c>
      <c r="J204" s="84">
        <v>2.1861987176743147E-2</v>
      </c>
      <c r="K204" s="156">
        <v>0.73656913543464608</v>
      </c>
      <c r="L204" s="135">
        <v>0.74343205508143995</v>
      </c>
      <c r="M204" s="10"/>
      <c r="N204" s="10"/>
      <c r="O204" s="10"/>
      <c r="P204" s="78"/>
    </row>
    <row r="205" spans="1:16" x14ac:dyDescent="0.25">
      <c r="A205" s="79">
        <v>46201</v>
      </c>
      <c r="B205" s="80">
        <v>4338.21</v>
      </c>
      <c r="C205" s="110">
        <v>1498.64</v>
      </c>
      <c r="D205" s="155">
        <v>0.65454876550466656</v>
      </c>
      <c r="E205" s="135">
        <v>0.72735560579801506</v>
      </c>
      <c r="F205" s="135">
        <v>0.72654941933949868</v>
      </c>
      <c r="G205" s="136">
        <v>0.71122122779901353</v>
      </c>
      <c r="H205" s="84">
        <v>-5.667246229434697E-2</v>
      </c>
      <c r="I205" s="84">
        <v>1.8611826508225127E-2</v>
      </c>
      <c r="J205" s="84">
        <v>1.0119469699868322E-2</v>
      </c>
      <c r="K205" s="156">
        <v>0.66690300970636407</v>
      </c>
      <c r="L205" s="135">
        <v>0.73175292171576356</v>
      </c>
      <c r="M205" s="10"/>
      <c r="N205" s="10"/>
      <c r="O205" s="10"/>
      <c r="P205" s="78"/>
    </row>
    <row r="206" spans="1:16" x14ac:dyDescent="0.25">
      <c r="A206" s="79">
        <v>46208</v>
      </c>
      <c r="B206" s="80">
        <v>4248.75</v>
      </c>
      <c r="C206" s="110">
        <v>934.53</v>
      </c>
      <c r="D206" s="155">
        <v>0.78004589585172113</v>
      </c>
      <c r="E206" s="135">
        <v>0.73176193694427494</v>
      </c>
      <c r="F206" s="135">
        <v>0.74045361827579403</v>
      </c>
      <c r="G206" s="136">
        <v>0.82441129107841216</v>
      </c>
      <c r="H206" s="84">
        <v>-4.4365395226691029E-2</v>
      </c>
      <c r="I206" s="84">
        <v>8.8254081779350901E-3</v>
      </c>
      <c r="J206" s="84">
        <v>1.9928348811476981E-2</v>
      </c>
      <c r="K206" s="156">
        <v>0.7874063036727823</v>
      </c>
      <c r="L206" s="135">
        <v>0.74600462520158295</v>
      </c>
      <c r="M206" s="10"/>
      <c r="N206" s="10"/>
      <c r="O206" s="10"/>
      <c r="P206" s="78"/>
    </row>
    <row r="207" spans="1:16" x14ac:dyDescent="0.25">
      <c r="A207" s="79">
        <v>46215</v>
      </c>
      <c r="B207" s="80">
        <v>4104.46</v>
      </c>
      <c r="C207" s="110">
        <v>1425.31</v>
      </c>
      <c r="D207" s="155">
        <v>0.65274116448936037</v>
      </c>
      <c r="E207" s="135">
        <v>0.72561647903718474</v>
      </c>
      <c r="F207" s="135">
        <v>0.72890317797153825</v>
      </c>
      <c r="G207" s="136">
        <v>0.69395869381143471</v>
      </c>
      <c r="H207" s="84">
        <v>-4.1217529322074342E-2</v>
      </c>
      <c r="I207" s="84">
        <v>5.1465611397620847E-3</v>
      </c>
      <c r="J207" s="84">
        <v>9.6758651453598965E-3</v>
      </c>
      <c r="K207" s="156">
        <v>0.66435020558493985</v>
      </c>
      <c r="L207" s="135">
        <v>0.73522183748790337</v>
      </c>
      <c r="M207" s="10"/>
      <c r="N207" s="10"/>
      <c r="O207" s="10"/>
      <c r="P207" s="78"/>
    </row>
    <row r="208" spans="1:16" x14ac:dyDescent="0.25">
      <c r="A208" s="79">
        <v>46222</v>
      </c>
      <c r="B208" s="80">
        <v>5411.13</v>
      </c>
      <c r="C208" s="110">
        <v>1077.69</v>
      </c>
      <c r="D208" s="155">
        <v>0.80083827222779724</v>
      </c>
      <c r="E208" s="135">
        <v>0.73210650870992189</v>
      </c>
      <c r="F208" s="135">
        <v>0.7388882626933112</v>
      </c>
      <c r="G208" s="136">
        <v>0.72071832020465543</v>
      </c>
      <c r="H208" s="84">
        <v>8.0119952023141816E-2</v>
      </c>
      <c r="I208" s="84">
        <v>1.4093233602596289E-2</v>
      </c>
      <c r="J208" s="84">
        <v>2.246025153277198E-2</v>
      </c>
      <c r="K208" s="156">
        <v>0.80625728092505511</v>
      </c>
      <c r="L208" s="135">
        <v>0.74481869636176179</v>
      </c>
      <c r="M208" s="10"/>
      <c r="N208" s="10"/>
      <c r="O208" s="10"/>
      <c r="P208" s="78"/>
    </row>
    <row r="209" spans="1:16" x14ac:dyDescent="0.25">
      <c r="A209" s="9"/>
      <c r="B209" s="126"/>
      <c r="C209" s="126"/>
      <c r="D209" s="127"/>
      <c r="E209" s="127"/>
      <c r="F209" s="127"/>
      <c r="G209" s="127"/>
      <c r="H209" s="127"/>
      <c r="I209" s="127"/>
      <c r="J209" s="127"/>
      <c r="K209" s="127"/>
      <c r="L209" s="127"/>
      <c r="M209" s="10"/>
      <c r="N209" s="10"/>
      <c r="O209" s="10"/>
      <c r="P209" s="10"/>
    </row>
    <row r="210" spans="1:16" outlineLevel="1" x14ac:dyDescent="0.25">
      <c r="A210" s="9" t="s">
        <v>59</v>
      </c>
      <c r="B210" s="64" t="s">
        <v>132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spans="1:16" outlineLevel="1" x14ac:dyDescent="0.25">
      <c r="A211" s="9" t="s">
        <v>61</v>
      </c>
      <c r="B211" s="65">
        <v>54</v>
      </c>
      <c r="C211" s="65">
        <v>63</v>
      </c>
      <c r="D211" s="65">
        <v>64</v>
      </c>
      <c r="E211" s="65">
        <v>66</v>
      </c>
      <c r="F211" s="65">
        <v>68</v>
      </c>
      <c r="G211" s="65">
        <v>72</v>
      </c>
      <c r="H211" s="65">
        <v>76</v>
      </c>
      <c r="I211" s="65">
        <v>80</v>
      </c>
      <c r="J211" s="65">
        <v>73</v>
      </c>
      <c r="K211" s="10">
        <v>77</v>
      </c>
      <c r="L211" s="10">
        <v>81</v>
      </c>
      <c r="M211" s="10"/>
      <c r="N211" s="10"/>
      <c r="O211" s="10"/>
      <c r="P211" s="10"/>
    </row>
    <row r="212" spans="1:16" ht="18.75" x14ac:dyDescent="0.3">
      <c r="A212" s="66" t="s">
        <v>133</v>
      </c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</row>
    <row r="213" spans="1:16" x14ac:dyDescent="0.25">
      <c r="A213" s="67" t="s">
        <v>63</v>
      </c>
      <c r="B213" s="157" t="s">
        <v>134</v>
      </c>
      <c r="C213" s="158"/>
      <c r="D213" s="158"/>
      <c r="E213" s="158"/>
      <c r="F213" s="159"/>
      <c r="G213" s="70" t="s">
        <v>135</v>
      </c>
      <c r="H213" s="71"/>
      <c r="I213" s="71"/>
      <c r="J213" s="160" t="s">
        <v>136</v>
      </c>
      <c r="K213" s="161"/>
      <c r="L213" s="161"/>
      <c r="M213" s="10"/>
      <c r="N213" s="10"/>
      <c r="O213" s="10"/>
      <c r="P213" s="10"/>
    </row>
    <row r="214" spans="1:16" ht="29.25" customHeight="1" x14ac:dyDescent="0.25">
      <c r="A214" s="73"/>
      <c r="B214" s="131" t="s">
        <v>22</v>
      </c>
      <c r="C214" s="162" t="s">
        <v>137</v>
      </c>
      <c r="D214" s="163" t="s">
        <v>138</v>
      </c>
      <c r="E214" s="133" t="s">
        <v>70</v>
      </c>
      <c r="F214" s="133" t="s">
        <v>71</v>
      </c>
      <c r="G214" s="76" t="s">
        <v>139</v>
      </c>
      <c r="H214" s="77" t="s">
        <v>74</v>
      </c>
      <c r="I214" s="77" t="s">
        <v>75</v>
      </c>
      <c r="J214" s="164" t="s">
        <v>139</v>
      </c>
      <c r="K214" s="95" t="s">
        <v>74</v>
      </c>
      <c r="L214" s="95" t="s">
        <v>75</v>
      </c>
      <c r="M214" s="10"/>
      <c r="N214" s="10"/>
      <c r="O214" s="10"/>
      <c r="P214" s="10"/>
    </row>
    <row r="215" spans="1:16" x14ac:dyDescent="0.25">
      <c r="A215" s="79">
        <v>46138</v>
      </c>
      <c r="B215" s="80">
        <v>18001.333333333336</v>
      </c>
      <c r="C215" s="80">
        <v>9930.3576162790687</v>
      </c>
      <c r="D215" s="165">
        <v>0.55164567159538558</v>
      </c>
      <c r="E215" s="135">
        <v>0.50735854102367506</v>
      </c>
      <c r="F215" s="135">
        <v>0.49531557501698159</v>
      </c>
      <c r="G215" s="136">
        <v>0.60406370997083836</v>
      </c>
      <c r="H215" s="84">
        <v>0.52824815217829801</v>
      </c>
      <c r="I215" s="84">
        <v>0.52011017949115157</v>
      </c>
      <c r="J215" s="145">
        <v>-5.241803837545278E-2</v>
      </c>
      <c r="K215" s="145">
        <v>-2.0889611154622956E-2</v>
      </c>
      <c r="L215" s="145">
        <v>-2.4794604474169979E-2</v>
      </c>
      <c r="M215" s="10"/>
      <c r="N215" s="10"/>
      <c r="O215" s="10"/>
      <c r="P215" s="10"/>
    </row>
    <row r="216" spans="1:16" x14ac:dyDescent="0.25">
      <c r="A216" s="79">
        <v>46145</v>
      </c>
      <c r="B216" s="80">
        <v>18951.125</v>
      </c>
      <c r="C216" s="80">
        <v>9148.945116279072</v>
      </c>
      <c r="D216" s="165">
        <v>0.48276527732675878</v>
      </c>
      <c r="E216" s="135">
        <v>0.5046673293486913</v>
      </c>
      <c r="F216" s="135">
        <v>0.49494126471730931</v>
      </c>
      <c r="G216" s="136">
        <v>0.53697581006542427</v>
      </c>
      <c r="H216" s="84">
        <v>0.53291878942059612</v>
      </c>
      <c r="I216" s="84">
        <v>0.52254891360854383</v>
      </c>
      <c r="J216" s="145">
        <v>-5.4210532738665496E-2</v>
      </c>
      <c r="K216" s="145">
        <v>-2.8251460071904821E-2</v>
      </c>
      <c r="L216" s="145">
        <v>-2.7607648891234515E-2</v>
      </c>
      <c r="M216" s="10"/>
      <c r="N216" s="10"/>
      <c r="O216" s="10"/>
      <c r="P216" s="10"/>
    </row>
    <row r="217" spans="1:16" x14ac:dyDescent="0.25">
      <c r="A217" s="79">
        <v>46152</v>
      </c>
      <c r="B217" s="80">
        <v>16372.375</v>
      </c>
      <c r="C217" s="80">
        <v>8920.1451162790709</v>
      </c>
      <c r="D217" s="165">
        <v>0.54482902549441181</v>
      </c>
      <c r="E217" s="135">
        <v>0.51236579965684137</v>
      </c>
      <c r="F217" s="135">
        <v>0.49694014711816253</v>
      </c>
      <c r="G217" s="136">
        <v>0.62628488555153772</v>
      </c>
      <c r="H217" s="84">
        <v>0.54384648066375141</v>
      </c>
      <c r="I217" s="84">
        <v>0.52998572312277736</v>
      </c>
      <c r="J217" s="145">
        <v>-8.1455860057125906E-2</v>
      </c>
      <c r="K217" s="145">
        <v>-3.1480681006910038E-2</v>
      </c>
      <c r="L217" s="145">
        <v>-3.3045576004614829E-2</v>
      </c>
      <c r="M217" s="10"/>
      <c r="N217" s="10"/>
      <c r="O217" s="10"/>
      <c r="P217" s="10"/>
    </row>
    <row r="218" spans="1:16" x14ac:dyDescent="0.25">
      <c r="A218" s="79">
        <v>46159</v>
      </c>
      <c r="B218" s="80">
        <v>16711.074999999997</v>
      </c>
      <c r="C218" s="80">
        <v>8661.2590697674423</v>
      </c>
      <c r="D218" s="165">
        <v>0.51829454836193622</v>
      </c>
      <c r="E218" s="135">
        <v>0.52358710815186538</v>
      </c>
      <c r="F218" s="135">
        <v>0.5058878403815954</v>
      </c>
      <c r="G218" s="136">
        <v>0.53211767095252227</v>
      </c>
      <c r="H218" s="84">
        <v>0.55526231561522488</v>
      </c>
      <c r="I218" s="84">
        <v>0.54155296027342259</v>
      </c>
      <c r="J218" s="145">
        <v>-1.3823122590586046E-2</v>
      </c>
      <c r="K218" s="145">
        <v>-3.16752074633595E-2</v>
      </c>
      <c r="L218" s="145">
        <v>-3.5665119891827191E-2</v>
      </c>
      <c r="M218" s="10"/>
      <c r="N218" s="10"/>
      <c r="O218" s="10"/>
      <c r="P218" s="10"/>
    </row>
    <row r="219" spans="1:16" x14ac:dyDescent="0.25">
      <c r="A219" s="79">
        <v>46166</v>
      </c>
      <c r="B219" s="80">
        <v>15505.375</v>
      </c>
      <c r="C219" s="80">
        <v>8558.1027906976742</v>
      </c>
      <c r="D219" s="165">
        <v>0.55194426388898521</v>
      </c>
      <c r="E219" s="135">
        <v>0.52460098433111324</v>
      </c>
      <c r="F219" s="135">
        <v>0.51357545821621975</v>
      </c>
      <c r="G219" s="136">
        <v>0.56870552239185823</v>
      </c>
      <c r="H219" s="84">
        <v>0.55606268282959859</v>
      </c>
      <c r="I219" s="84">
        <v>0.54986333232835949</v>
      </c>
      <c r="J219" s="145">
        <v>-1.6761258502873022E-2</v>
      </c>
      <c r="K219" s="145">
        <v>-3.1461698498485346E-2</v>
      </c>
      <c r="L219" s="145">
        <v>-3.628787411213974E-2</v>
      </c>
      <c r="M219" s="10"/>
      <c r="N219" s="10"/>
      <c r="O219" s="10"/>
      <c r="P219" s="10"/>
    </row>
    <row r="220" spans="1:16" x14ac:dyDescent="0.25">
      <c r="A220" s="79">
        <v>46173</v>
      </c>
      <c r="B220" s="80">
        <v>16324.208333333334</v>
      </c>
      <c r="C220" s="80">
        <v>9136.2727906976761</v>
      </c>
      <c r="D220" s="165">
        <v>0.55967631655630112</v>
      </c>
      <c r="E220" s="135">
        <v>0.53531863914229283</v>
      </c>
      <c r="F220" s="135">
        <v>0.51906829745157779</v>
      </c>
      <c r="G220" s="136">
        <v>0.4971798272572156</v>
      </c>
      <c r="H220" s="84">
        <v>0.55083294704007146</v>
      </c>
      <c r="I220" s="84">
        <v>0.53736292531715468</v>
      </c>
      <c r="J220" s="145">
        <v>6.2496489299085523E-2</v>
      </c>
      <c r="K220" s="145">
        <v>-1.5514307897778634E-2</v>
      </c>
      <c r="L220" s="145">
        <v>-1.8294627865576896E-2</v>
      </c>
      <c r="M220" s="10"/>
      <c r="N220" s="10"/>
      <c r="O220" s="10"/>
      <c r="P220" s="10"/>
    </row>
    <row r="221" spans="1:16" x14ac:dyDescent="0.25">
      <c r="A221" s="79">
        <v>46180</v>
      </c>
      <c r="B221" s="80">
        <v>15338.833333333334</v>
      </c>
      <c r="C221" s="80">
        <v>8834.1181395348831</v>
      </c>
      <c r="D221" s="165">
        <v>0.5759315553900155</v>
      </c>
      <c r="E221" s="135">
        <v>0.53913710641253976</v>
      </c>
      <c r="F221" s="135">
        <v>0.52016644276799473</v>
      </c>
      <c r="G221" s="136">
        <v>0.56967933587289066</v>
      </c>
      <c r="H221" s="84">
        <v>0.55959213487753545</v>
      </c>
      <c r="I221" s="84">
        <v>0.53855759815312343</v>
      </c>
      <c r="J221" s="145">
        <v>6.2522195171248462E-3</v>
      </c>
      <c r="K221" s="145">
        <v>-2.0455028464995695E-2</v>
      </c>
      <c r="L221" s="145">
        <v>-1.8391155385128699E-2</v>
      </c>
      <c r="M221" s="10"/>
      <c r="N221" s="10"/>
      <c r="O221" s="10"/>
      <c r="P221" s="10"/>
    </row>
    <row r="222" spans="1:16" x14ac:dyDescent="0.25">
      <c r="A222" s="79">
        <v>46187</v>
      </c>
      <c r="B222" s="80">
        <v>14702.92</v>
      </c>
      <c r="C222" s="80">
        <v>8906.158139534884</v>
      </c>
      <c r="D222" s="165">
        <v>0.60574077390986847</v>
      </c>
      <c r="E222" s="135">
        <v>0.54575746116417434</v>
      </c>
      <c r="F222" s="135">
        <v>0.52731522162005984</v>
      </c>
      <c r="G222" s="136">
        <v>0.4670985117819369</v>
      </c>
      <c r="H222" s="84">
        <v>0.53873110226921228</v>
      </c>
      <c r="I222" s="84">
        <v>0.5355945688346555</v>
      </c>
      <c r="J222" s="145">
        <v>0.13864226212793157</v>
      </c>
      <c r="K222" s="145">
        <v>7.0263588949620592E-3</v>
      </c>
      <c r="L222" s="145">
        <v>-8.279347214595667E-3</v>
      </c>
      <c r="M222" s="10"/>
      <c r="N222" s="10"/>
      <c r="O222" s="10"/>
      <c r="P222" s="10"/>
    </row>
    <row r="223" spans="1:16" x14ac:dyDescent="0.25">
      <c r="A223" s="79">
        <v>46194</v>
      </c>
      <c r="B223" s="80">
        <v>18260.62</v>
      </c>
      <c r="C223" s="80">
        <v>9172.5581395348818</v>
      </c>
      <c r="D223" s="165">
        <v>0.50231362021305315</v>
      </c>
      <c r="E223" s="135">
        <v>0.5492946235590066</v>
      </c>
      <c r="F223" s="135">
        <v>0.52859144751883191</v>
      </c>
      <c r="G223" s="136">
        <v>0.65850930005775288</v>
      </c>
      <c r="H223" s="84">
        <v>0.55218055321030735</v>
      </c>
      <c r="I223" s="84">
        <v>0.54277721819610214</v>
      </c>
      <c r="J223" s="145">
        <v>-0.15619567984469973</v>
      </c>
      <c r="K223" s="145">
        <v>-2.8859296513007449E-3</v>
      </c>
      <c r="L223" s="145">
        <v>-1.4185770677270226E-2</v>
      </c>
      <c r="M223" s="10"/>
      <c r="N223" s="10"/>
      <c r="O223" s="10"/>
      <c r="P223" s="10"/>
    </row>
    <row r="224" spans="1:16" x14ac:dyDescent="0.25">
      <c r="A224" s="79">
        <v>46201</v>
      </c>
      <c r="B224" s="80">
        <v>13418.21</v>
      </c>
      <c r="C224" s="80">
        <v>8356.5765116279072</v>
      </c>
      <c r="D224" s="165">
        <v>0.62277878432577127</v>
      </c>
      <c r="E224" s="135">
        <v>0.55890034113433495</v>
      </c>
      <c r="F224" s="135">
        <v>0.54187188005859155</v>
      </c>
      <c r="G224" s="136">
        <v>0.50560633149448742</v>
      </c>
      <c r="H224" s="84">
        <v>0.53588051990212326</v>
      </c>
      <c r="I224" s="84">
        <v>0.54695806417250914</v>
      </c>
      <c r="J224" s="145">
        <v>0.11717245283128386</v>
      </c>
      <c r="K224" s="145">
        <v>2.301982123221169E-2</v>
      </c>
      <c r="L224" s="145">
        <v>-5.0861841139175912E-3</v>
      </c>
      <c r="M224" s="10"/>
      <c r="N224" s="10"/>
      <c r="O224" s="10"/>
      <c r="P224" s="10"/>
    </row>
    <row r="225" spans="1:16" x14ac:dyDescent="0.25">
      <c r="A225" s="79">
        <v>46208</v>
      </c>
      <c r="B225" s="80">
        <v>14837.5</v>
      </c>
      <c r="C225" s="80">
        <v>8733.3965116279069</v>
      </c>
      <c r="D225" s="165">
        <v>0.58860296624282438</v>
      </c>
      <c r="E225" s="135">
        <v>0.56922696945767959</v>
      </c>
      <c r="F225" s="135">
        <v>0.5451190121380628</v>
      </c>
      <c r="G225" s="136">
        <v>0.512909277778684</v>
      </c>
      <c r="H225" s="84">
        <v>0.53312499862334062</v>
      </c>
      <c r="I225" s="84">
        <v>0.54314600332833352</v>
      </c>
      <c r="J225" s="145">
        <v>7.5693688464140374E-2</v>
      </c>
      <c r="K225" s="145">
        <v>3.610197083433897E-2</v>
      </c>
      <c r="L225" s="145">
        <v>1.9730088097292819E-3</v>
      </c>
      <c r="M225" s="10"/>
      <c r="N225" s="10"/>
      <c r="O225" s="10"/>
      <c r="P225" s="10"/>
    </row>
    <row r="226" spans="1:16" x14ac:dyDescent="0.25">
      <c r="A226" s="79">
        <v>46215</v>
      </c>
      <c r="B226" s="80">
        <v>12852.380000000001</v>
      </c>
      <c r="C226" s="80">
        <v>8620.5065116279075</v>
      </c>
      <c r="D226" s="165">
        <v>0.67073230885080481</v>
      </c>
      <c r="E226" s="135">
        <v>0.58409966920676637</v>
      </c>
      <c r="F226" s="135">
        <v>0.55818746658471352</v>
      </c>
      <c r="G226" s="136">
        <v>0.54618257498811817</v>
      </c>
      <c r="H226" s="84">
        <v>0.52998749543173229</v>
      </c>
      <c r="I226" s="84">
        <v>0.54429023600463744</v>
      </c>
      <c r="J226" s="145">
        <v>0.12454973386268664</v>
      </c>
      <c r="K226" s="145">
        <v>5.4112173775034078E-2</v>
      </c>
      <c r="L226" s="145">
        <v>1.3897230580076081E-2</v>
      </c>
      <c r="M226" s="10"/>
      <c r="N226" s="10"/>
      <c r="O226" s="10"/>
      <c r="P226" s="10"/>
    </row>
    <row r="227" spans="1:16" x14ac:dyDescent="0.25">
      <c r="A227" s="79">
        <v>46222</v>
      </c>
      <c r="B227" s="80">
        <v>17201.55</v>
      </c>
      <c r="C227" s="80">
        <v>8639.9065116279071</v>
      </c>
      <c r="D227" s="165">
        <v>0.50227488288136291</v>
      </c>
      <c r="E227" s="135">
        <v>0.57463712155562208</v>
      </c>
      <c r="F227" s="135">
        <v>0.55458406874696764</v>
      </c>
      <c r="G227" s="136">
        <v>0.5107328865825137</v>
      </c>
      <c r="H227" s="84">
        <v>0.53233042796207464</v>
      </c>
      <c r="I227" s="84">
        <v>0.54427614659027401</v>
      </c>
      <c r="J227" s="145">
        <v>-8.4580037011507958E-3</v>
      </c>
      <c r="K227" s="145">
        <v>4.230669359354744E-2</v>
      </c>
      <c r="L227" s="145">
        <v>1.0307922156693627E-2</v>
      </c>
      <c r="M227" s="10"/>
      <c r="N227" s="10"/>
      <c r="O227" s="10"/>
      <c r="P227" s="10"/>
    </row>
    <row r="228" spans="1:16" x14ac:dyDescent="0.25">
      <c r="A228" s="9"/>
      <c r="B228" s="126"/>
      <c r="C228" s="126"/>
      <c r="D228" s="127"/>
      <c r="E228" s="127"/>
      <c r="F228" s="127"/>
      <c r="G228" s="127"/>
      <c r="H228" s="127"/>
      <c r="I228" s="127"/>
      <c r="J228" s="127"/>
      <c r="K228" s="127"/>
      <c r="L228" s="127"/>
      <c r="M228" s="10"/>
      <c r="N228" s="10"/>
      <c r="O228" s="10"/>
      <c r="P228" s="10"/>
    </row>
    <row r="229" spans="1:16" outlineLevel="1" x14ac:dyDescent="0.25">
      <c r="A229" s="9" t="s">
        <v>59</v>
      </c>
      <c r="B229" s="64" t="s">
        <v>132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spans="1:16" outlineLevel="1" x14ac:dyDescent="0.25">
      <c r="A230" s="9" t="s">
        <v>61</v>
      </c>
      <c r="B230" s="65">
        <v>2</v>
      </c>
      <c r="C230" s="65">
        <v>7</v>
      </c>
      <c r="D230" s="65">
        <v>8</v>
      </c>
      <c r="E230" s="10"/>
      <c r="F230" s="65">
        <v>10</v>
      </c>
      <c r="G230" s="65">
        <v>12</v>
      </c>
      <c r="H230" s="65" t="s">
        <v>140</v>
      </c>
      <c r="I230" s="65" t="s">
        <v>141</v>
      </c>
      <c r="J230" s="65" t="s">
        <v>142</v>
      </c>
      <c r="K230" s="65" t="s">
        <v>143</v>
      </c>
      <c r="L230" s="10"/>
      <c r="M230" s="10"/>
      <c r="N230" s="10"/>
      <c r="O230" s="10"/>
      <c r="P230" s="10"/>
    </row>
    <row r="231" spans="1:16" ht="18.75" x14ac:dyDescent="0.3">
      <c r="A231" s="85" t="s">
        <v>144</v>
      </c>
      <c r="B231" s="85"/>
      <c r="C231" s="85"/>
      <c r="D231" s="85"/>
      <c r="E231" s="166">
        <v>0.16500000000000001</v>
      </c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</row>
    <row r="232" spans="1:16" x14ac:dyDescent="0.25">
      <c r="A232" s="67" t="s">
        <v>63</v>
      </c>
      <c r="B232" s="147" t="s">
        <v>145</v>
      </c>
      <c r="C232" s="148"/>
      <c r="D232" s="148"/>
      <c r="E232" s="148"/>
      <c r="F232" s="148"/>
      <c r="G232" s="167"/>
      <c r="H232" s="70" t="s">
        <v>65</v>
      </c>
      <c r="I232" s="71"/>
      <c r="J232" s="71"/>
      <c r="K232" s="72"/>
      <c r="L232" s="10"/>
      <c r="M232" s="10"/>
      <c r="N232" s="10"/>
      <c r="O232" s="10"/>
      <c r="P232" s="10"/>
    </row>
    <row r="233" spans="1:16" ht="29.25" customHeight="1" x14ac:dyDescent="0.25">
      <c r="A233" s="73"/>
      <c r="B233" s="117" t="s">
        <v>22</v>
      </c>
      <c r="C233" s="117" t="s">
        <v>137</v>
      </c>
      <c r="D233" s="151" t="s">
        <v>138</v>
      </c>
      <c r="E233" s="168" t="s">
        <v>146</v>
      </c>
      <c r="F233" s="152" t="s">
        <v>70</v>
      </c>
      <c r="G233" s="152" t="s">
        <v>71</v>
      </c>
      <c r="H233" s="76" t="s">
        <v>139</v>
      </c>
      <c r="I233" s="77" t="s">
        <v>73</v>
      </c>
      <c r="J233" s="77" t="s">
        <v>74</v>
      </c>
      <c r="K233" s="77" t="s">
        <v>75</v>
      </c>
      <c r="L233" s="10"/>
      <c r="M233" s="10"/>
      <c r="N233" s="10"/>
      <c r="O233" s="10"/>
      <c r="P233" s="10"/>
    </row>
    <row r="234" spans="1:16" x14ac:dyDescent="0.25">
      <c r="A234" s="79">
        <v>46138</v>
      </c>
      <c r="B234" s="80">
        <v>18001.333333333336</v>
      </c>
      <c r="C234" s="80">
        <v>3588.6411046511625</v>
      </c>
      <c r="D234" s="155">
        <v>0.1993541832818585</v>
      </c>
      <c r="E234" s="169">
        <v>3.4354183281858491E-2</v>
      </c>
      <c r="F234" s="135">
        <v>0.18202596553069861</v>
      </c>
      <c r="G234" s="135">
        <v>0.1791604572680274</v>
      </c>
      <c r="H234" s="136">
        <v>0.23082146328748226</v>
      </c>
      <c r="I234" s="145">
        <v>-0.13632735689935416</v>
      </c>
      <c r="J234" s="145">
        <v>-6.3183175055747151E-2</v>
      </c>
      <c r="K234" s="145">
        <v>-2.5329569091680795E-2</v>
      </c>
      <c r="L234" s="10"/>
      <c r="M234" s="10"/>
      <c r="N234" s="10"/>
      <c r="O234" s="10"/>
      <c r="P234" s="10"/>
    </row>
    <row r="235" spans="1:16" x14ac:dyDescent="0.25">
      <c r="A235" s="79">
        <v>46145</v>
      </c>
      <c r="B235" s="80">
        <v>18951.125</v>
      </c>
      <c r="C235" s="80">
        <v>3445.3086046511621</v>
      </c>
      <c r="D235" s="155">
        <v>0.18179968759908249</v>
      </c>
      <c r="E235" s="169">
        <v>1.6799687599082486E-2</v>
      </c>
      <c r="F235" s="135">
        <v>0.1829668653448393</v>
      </c>
      <c r="G235" s="135">
        <v>0.17926134553271963</v>
      </c>
      <c r="H235" s="136">
        <v>0.19515028068145707</v>
      </c>
      <c r="I235" s="145">
        <v>-6.841185693279471E-2</v>
      </c>
      <c r="J235" s="145">
        <v>-7.1502860468006024E-2</v>
      </c>
      <c r="K235" s="145">
        <v>-3.6229827680881961E-2</v>
      </c>
      <c r="L235" s="10"/>
      <c r="M235" s="10"/>
      <c r="N235" s="10"/>
      <c r="O235" s="10"/>
      <c r="P235" s="10"/>
    </row>
    <row r="236" spans="1:16" x14ac:dyDescent="0.25">
      <c r="A236" s="79">
        <v>46152</v>
      </c>
      <c r="B236" s="80">
        <v>16372.375</v>
      </c>
      <c r="C236" s="80">
        <v>2761.0086046511628</v>
      </c>
      <c r="D236" s="155">
        <v>0.16863824610975273</v>
      </c>
      <c r="E236" s="169">
        <v>3.6382461097527186E-3</v>
      </c>
      <c r="F236" s="135">
        <v>0.18314388411769489</v>
      </c>
      <c r="G236" s="135">
        <v>0.17731661334061047</v>
      </c>
      <c r="H236" s="136">
        <v>0.2173580008968867</v>
      </c>
      <c r="I236" s="145">
        <v>-0.22414521014225894</v>
      </c>
      <c r="J236" s="145">
        <v>-9.1907221811315165E-2</v>
      </c>
      <c r="K236" s="145">
        <v>-6.2720971092689426E-2</v>
      </c>
      <c r="L236" s="10"/>
      <c r="M236" s="10"/>
      <c r="N236" s="10"/>
      <c r="O236" s="10"/>
      <c r="P236" s="10"/>
    </row>
    <row r="237" spans="1:16" x14ac:dyDescent="0.25">
      <c r="A237" s="79">
        <v>46159</v>
      </c>
      <c r="B237" s="80">
        <v>16711.074999999997</v>
      </c>
      <c r="C237" s="80">
        <v>2839.3586046511632</v>
      </c>
      <c r="D237" s="155">
        <v>0.16990879429666636</v>
      </c>
      <c r="E237" s="169">
        <v>4.9087942966663523E-3</v>
      </c>
      <c r="F237" s="135">
        <v>0.18613970648477002</v>
      </c>
      <c r="G237" s="135">
        <v>0.17793857431994431</v>
      </c>
      <c r="H237" s="136">
        <v>0.19470261994407034</v>
      </c>
      <c r="I237" s="145">
        <v>-0.12734202372071921</v>
      </c>
      <c r="J237" s="145">
        <v>-0.10314069393153513</v>
      </c>
      <c r="K237" s="145">
        <v>-7.6002822621666688E-2</v>
      </c>
      <c r="L237" s="10"/>
      <c r="M237" s="10"/>
      <c r="N237" s="10"/>
      <c r="O237" s="10"/>
      <c r="P237" s="10"/>
    </row>
    <row r="238" spans="1:16" x14ac:dyDescent="0.25">
      <c r="A238" s="79">
        <v>46166</v>
      </c>
      <c r="B238" s="80">
        <v>15505.375</v>
      </c>
      <c r="C238" s="80">
        <v>2820.4676744186049</v>
      </c>
      <c r="D238" s="155">
        <v>0.18190257729455786</v>
      </c>
      <c r="E238" s="169">
        <v>1.6902577294557852E-2</v>
      </c>
      <c r="F238" s="135">
        <v>0.18300462107843268</v>
      </c>
      <c r="G238" s="135">
        <v>0.17968925919527903</v>
      </c>
      <c r="H238" s="136">
        <v>0.19848102411256868</v>
      </c>
      <c r="I238" s="145">
        <v>-8.3526608612258788E-2</v>
      </c>
      <c r="J238" s="145">
        <v>-0.10866203176296658</v>
      </c>
      <c r="K238" s="145">
        <v>-8.0200358493023122E-2</v>
      </c>
      <c r="L238" s="10"/>
      <c r="M238" s="10"/>
      <c r="N238" s="10"/>
      <c r="O238" s="10"/>
      <c r="P238" s="10"/>
    </row>
    <row r="239" spans="1:16" x14ac:dyDescent="0.25">
      <c r="A239" s="79">
        <v>46173</v>
      </c>
      <c r="B239" s="80">
        <v>16324.208333333334</v>
      </c>
      <c r="C239" s="80">
        <v>3376.5076744186044</v>
      </c>
      <c r="D239" s="155">
        <v>0.20684051596694711</v>
      </c>
      <c r="E239" s="169">
        <v>4.1840515966947101E-2</v>
      </c>
      <c r="F239" s="135">
        <v>0.18530620691558744</v>
      </c>
      <c r="G239" s="135">
        <v>0.18242633340379152</v>
      </c>
      <c r="H239" s="136">
        <v>0.19172623636740618</v>
      </c>
      <c r="I239" s="145">
        <v>7.8832609902055012E-2</v>
      </c>
      <c r="J239" s="145">
        <v>-9.2340430196961878E-2</v>
      </c>
      <c r="K239" s="145">
        <v>-6.8848131134233492E-2</v>
      </c>
      <c r="L239" s="10"/>
      <c r="M239" s="10"/>
      <c r="N239" s="10"/>
      <c r="O239" s="10"/>
      <c r="P239" s="10"/>
    </row>
    <row r="240" spans="1:16" x14ac:dyDescent="0.25">
      <c r="A240" s="79">
        <v>46180</v>
      </c>
      <c r="B240" s="80">
        <v>15338.833333333334</v>
      </c>
      <c r="C240" s="80">
        <v>2689.8476744186046</v>
      </c>
      <c r="D240" s="155">
        <v>0.17536194676378719</v>
      </c>
      <c r="E240" s="169">
        <v>1.0361946763787183E-2</v>
      </c>
      <c r="F240" s="135">
        <v>0.18362069780155696</v>
      </c>
      <c r="G240" s="135">
        <v>0.18147896608741379</v>
      </c>
      <c r="H240" s="136">
        <v>0.20288794553076334</v>
      </c>
      <c r="I240" s="145">
        <v>-0.13567094237642843</v>
      </c>
      <c r="J240" s="145">
        <v>-0.1029409414728174</v>
      </c>
      <c r="K240" s="145">
        <v>-7.8782014501291936E-2</v>
      </c>
      <c r="L240" s="10"/>
      <c r="M240" s="10"/>
      <c r="N240" s="10"/>
      <c r="O240" s="10"/>
      <c r="P240" s="10"/>
    </row>
    <row r="241" spans="1:16" x14ac:dyDescent="0.25">
      <c r="A241" s="79">
        <v>46187</v>
      </c>
      <c r="B241" s="80">
        <v>14702.92</v>
      </c>
      <c r="C241" s="80">
        <v>2731.9976744186047</v>
      </c>
      <c r="D241" s="155">
        <v>0.18581327208599413</v>
      </c>
      <c r="E241" s="169">
        <v>2.0813272085994122E-2</v>
      </c>
      <c r="F241" s="135">
        <v>0.18141724348864638</v>
      </c>
      <c r="G241" s="135">
        <v>0.18228063957751364</v>
      </c>
      <c r="H241" s="136">
        <v>0.15951684265858268</v>
      </c>
      <c r="I241" s="145">
        <v>0.16485048844462313</v>
      </c>
      <c r="J241" s="145">
        <v>-6.5859978361388447E-2</v>
      </c>
      <c r="K241" s="145">
        <v>-6.8729271393583896E-2</v>
      </c>
      <c r="L241" s="10"/>
      <c r="M241" s="10"/>
      <c r="N241" s="10"/>
      <c r="O241" s="10"/>
      <c r="P241" s="10"/>
    </row>
    <row r="242" spans="1:16" x14ac:dyDescent="0.25">
      <c r="A242" s="79">
        <v>46194</v>
      </c>
      <c r="B242" s="80">
        <v>18260.62</v>
      </c>
      <c r="C242" s="80">
        <v>3406.7776744186049</v>
      </c>
      <c r="D242" s="155">
        <v>0.18656418426201329</v>
      </c>
      <c r="E242" s="169">
        <v>2.1564184262013286E-2</v>
      </c>
      <c r="F242" s="135">
        <v>0.18218338111987836</v>
      </c>
      <c r="G242" s="135">
        <v>0.18371631057999893</v>
      </c>
      <c r="H242" s="136">
        <v>0.22909340912768569</v>
      </c>
      <c r="I242" s="145">
        <v>-0.18564141599537962</v>
      </c>
      <c r="J242" s="145">
        <v>-8.5191154870319502E-2</v>
      </c>
      <c r="K242" s="145">
        <v>-7.7204495945716239E-2</v>
      </c>
      <c r="L242" s="10"/>
      <c r="M242" s="10"/>
      <c r="N242" s="10"/>
      <c r="O242" s="10"/>
      <c r="P242" s="10"/>
    </row>
    <row r="243" spans="1:16" x14ac:dyDescent="0.25">
      <c r="A243" s="79">
        <v>46201</v>
      </c>
      <c r="B243" s="80">
        <v>13418.21</v>
      </c>
      <c r="C243" s="80">
        <v>2782.8788372093022</v>
      </c>
      <c r="D243" s="155">
        <v>0.2073956837170757</v>
      </c>
      <c r="E243" s="169">
        <v>4.2395683717075694E-2</v>
      </c>
      <c r="F243" s="135">
        <v>0.18726286319516014</v>
      </c>
      <c r="G243" s="135">
        <v>0.18795378460157894</v>
      </c>
      <c r="H243" s="136">
        <v>0.19545033226550407</v>
      </c>
      <c r="I243" s="145">
        <v>6.1117069043120399E-2</v>
      </c>
      <c r="J243" s="145">
        <v>-4.2330487750015654E-2</v>
      </c>
      <c r="K243" s="145">
        <v>-6.9597523946464956E-2</v>
      </c>
      <c r="L243" s="10"/>
      <c r="M243" s="10"/>
      <c r="N243" s="10"/>
      <c r="O243" s="10"/>
      <c r="P243" s="10"/>
    </row>
    <row r="244" spans="1:16" x14ac:dyDescent="0.25">
      <c r="A244" s="79">
        <v>46208</v>
      </c>
      <c r="B244" s="80">
        <v>14837.5</v>
      </c>
      <c r="C244" s="80">
        <v>2766.5288372093028</v>
      </c>
      <c r="D244" s="155">
        <v>0.18645518700652419</v>
      </c>
      <c r="E244" s="169">
        <v>2.1455187006524185E-2</v>
      </c>
      <c r="F244" s="135">
        <v>0.1898279267307009</v>
      </c>
      <c r="G244" s="135">
        <v>0.18652267620179758</v>
      </c>
      <c r="H244" s="136">
        <v>0.18487234285527837</v>
      </c>
      <c r="I244" s="145">
        <v>8.561822319117264E-3</v>
      </c>
      <c r="J244" s="145">
        <v>-2.3270272511179146E-2</v>
      </c>
      <c r="K244" s="145">
        <v>-6.5812135472267802E-2</v>
      </c>
      <c r="L244" s="10"/>
      <c r="M244" s="10"/>
      <c r="N244" s="10"/>
      <c r="O244" s="10"/>
      <c r="P244" s="10"/>
    </row>
    <row r="245" spans="1:16" x14ac:dyDescent="0.25">
      <c r="A245" s="79">
        <v>46215</v>
      </c>
      <c r="B245" s="80">
        <v>12852.380000000001</v>
      </c>
      <c r="C245" s="80">
        <v>2647.6888372093026</v>
      </c>
      <c r="D245" s="155">
        <v>0.20600766840144022</v>
      </c>
      <c r="E245" s="169">
        <v>4.1007668401440212E-2</v>
      </c>
      <c r="F245" s="135">
        <v>0.19295683135633379</v>
      </c>
      <c r="G245" s="135">
        <v>0.18750365122156032</v>
      </c>
      <c r="H245" s="136">
        <v>0.20966298894303728</v>
      </c>
      <c r="I245" s="145">
        <v>-1.7434267058885466E-2</v>
      </c>
      <c r="J245" s="145">
        <v>-1.3669896234565111E-2</v>
      </c>
      <c r="K245" s="145">
        <v>-6.352096350149268E-2</v>
      </c>
      <c r="L245" s="10"/>
      <c r="M245" s="10"/>
      <c r="N245" s="10"/>
      <c r="O245" s="10"/>
      <c r="P245" s="10"/>
    </row>
    <row r="246" spans="1:16" x14ac:dyDescent="0.25">
      <c r="A246" s="79">
        <v>46222</v>
      </c>
      <c r="B246" s="80">
        <v>17201.55</v>
      </c>
      <c r="C246" s="80">
        <v>2917.6088372093027</v>
      </c>
      <c r="D246" s="155">
        <v>0.16961313586329738</v>
      </c>
      <c r="E246" s="169">
        <v>4.6131358632973685E-3</v>
      </c>
      <c r="F246" s="135">
        <v>0.18706455068753058</v>
      </c>
      <c r="G246" s="135">
        <v>0.18598946989285434</v>
      </c>
      <c r="H246" s="136">
        <v>0.18958571867297683</v>
      </c>
      <c r="I246" s="145">
        <v>-0.10534856185096343</v>
      </c>
      <c r="J246" s="145">
        <v>-3.928210700406732E-2</v>
      </c>
      <c r="K246" s="145">
        <v>-6.6807797370817434E-2</v>
      </c>
      <c r="L246" s="10"/>
      <c r="M246" s="10"/>
      <c r="N246" s="10"/>
      <c r="O246" s="10"/>
      <c r="P246" s="10"/>
    </row>
    <row r="247" spans="1:16" x14ac:dyDescent="0.25">
      <c r="A247" s="9"/>
      <c r="B247" s="126"/>
      <c r="C247" s="126"/>
      <c r="D247" s="127"/>
      <c r="E247" s="127"/>
      <c r="F247" s="127"/>
      <c r="G247" s="127"/>
      <c r="H247" s="10"/>
      <c r="I247" s="10"/>
      <c r="J247" s="10"/>
      <c r="K247" s="10"/>
      <c r="L247" s="10"/>
      <c r="M247" s="10"/>
      <c r="N247" s="10"/>
      <c r="O247" s="10"/>
      <c r="P247" s="10"/>
    </row>
    <row r="248" spans="1:16" outlineLevel="1" x14ac:dyDescent="0.25">
      <c r="A248" s="9" t="s">
        <v>59</v>
      </c>
      <c r="B248" s="64" t="s">
        <v>132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spans="1:16" outlineLevel="1" x14ac:dyDescent="0.25">
      <c r="A249" s="9" t="s">
        <v>61</v>
      </c>
      <c r="B249" s="65">
        <v>15</v>
      </c>
      <c r="C249" s="65">
        <v>20</v>
      </c>
      <c r="D249" s="65">
        <v>21</v>
      </c>
      <c r="E249" s="10"/>
      <c r="F249" s="65">
        <v>23</v>
      </c>
      <c r="G249" s="65">
        <v>25</v>
      </c>
      <c r="H249" s="65" t="s">
        <v>147</v>
      </c>
      <c r="I249" s="65" t="s">
        <v>148</v>
      </c>
      <c r="J249" s="65" t="s">
        <v>149</v>
      </c>
      <c r="K249" s="65" t="s">
        <v>150</v>
      </c>
      <c r="L249" s="10"/>
      <c r="M249" s="10"/>
      <c r="N249" s="10"/>
      <c r="O249" s="10"/>
      <c r="P249" s="10"/>
    </row>
    <row r="250" spans="1:16" ht="18.75" x14ac:dyDescent="0.3">
      <c r="A250" s="85" t="s">
        <v>151</v>
      </c>
      <c r="B250" s="85"/>
      <c r="C250" s="85"/>
      <c r="D250" s="85"/>
      <c r="E250" s="170">
        <v>0.19</v>
      </c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</row>
    <row r="251" spans="1:16" x14ac:dyDescent="0.25">
      <c r="A251" s="67" t="s">
        <v>63</v>
      </c>
      <c r="B251" s="138" t="s">
        <v>152</v>
      </c>
      <c r="C251" s="88"/>
      <c r="D251" s="88"/>
      <c r="E251" s="88"/>
      <c r="F251" s="88"/>
      <c r="G251" s="171"/>
      <c r="H251" s="70" t="s">
        <v>65</v>
      </c>
      <c r="I251" s="71"/>
      <c r="J251" s="71"/>
      <c r="K251" s="72"/>
      <c r="L251" s="10"/>
      <c r="M251" s="10"/>
      <c r="N251" s="10"/>
      <c r="O251" s="10"/>
      <c r="P251" s="10"/>
    </row>
    <row r="252" spans="1:16" ht="29.25" customHeight="1" x14ac:dyDescent="0.25">
      <c r="A252" s="73"/>
      <c r="B252" s="103" t="s">
        <v>22</v>
      </c>
      <c r="C252" s="103" t="s">
        <v>137</v>
      </c>
      <c r="D252" s="141" t="s">
        <v>138</v>
      </c>
      <c r="E252" s="172" t="s">
        <v>146</v>
      </c>
      <c r="F252" s="142" t="s">
        <v>70</v>
      </c>
      <c r="G252" s="142" t="s">
        <v>71</v>
      </c>
      <c r="H252" s="76" t="s">
        <v>139</v>
      </c>
      <c r="I252" s="77" t="s">
        <v>73</v>
      </c>
      <c r="J252" s="77" t="s">
        <v>74</v>
      </c>
      <c r="K252" s="77" t="s">
        <v>75</v>
      </c>
      <c r="L252" s="10"/>
      <c r="M252" s="10"/>
      <c r="N252" s="10"/>
      <c r="O252" s="10"/>
      <c r="P252" s="10"/>
    </row>
    <row r="253" spans="1:16" x14ac:dyDescent="0.25">
      <c r="A253" s="79">
        <v>46138</v>
      </c>
      <c r="B253" s="80">
        <v>18001.333333333336</v>
      </c>
      <c r="C253" s="80">
        <v>4470.2704651162794</v>
      </c>
      <c r="D253" s="145">
        <v>0.24832996436095173</v>
      </c>
      <c r="E253" s="169">
        <v>5.8329964360951725E-2</v>
      </c>
      <c r="F253" s="135">
        <v>0.22095130748361205</v>
      </c>
      <c r="G253" s="135">
        <v>0.21465802953584051</v>
      </c>
      <c r="H253" s="136">
        <v>0.27726740050068688</v>
      </c>
      <c r="I253" s="145">
        <v>-0.10436652880028521</v>
      </c>
      <c r="J253" s="145">
        <v>-9.2409520475944654E-2</v>
      </c>
      <c r="K253" s="145">
        <v>-0.14437406106155726</v>
      </c>
      <c r="L253" s="10"/>
      <c r="M253" s="10"/>
      <c r="N253" s="10"/>
      <c r="O253" s="10"/>
      <c r="P253" s="10"/>
    </row>
    <row r="254" spans="1:16" x14ac:dyDescent="0.25">
      <c r="A254" s="79">
        <v>46145</v>
      </c>
      <c r="B254" s="80">
        <v>18951.125</v>
      </c>
      <c r="C254" s="80">
        <v>3982.5904651162796</v>
      </c>
      <c r="D254" s="145">
        <v>0.21015060927075727</v>
      </c>
      <c r="E254" s="169">
        <v>2.0150609270757264E-2</v>
      </c>
      <c r="F254" s="135">
        <v>0.21990059262897685</v>
      </c>
      <c r="G254" s="135">
        <v>0.21498820061627449</v>
      </c>
      <c r="H254" s="136">
        <v>0.24448242991111072</v>
      </c>
      <c r="I254" s="145">
        <v>-0.14042653557082144</v>
      </c>
      <c r="J254" s="145">
        <v>-9.7745570250378166E-2</v>
      </c>
      <c r="K254" s="145">
        <v>-0.1409601530480169</v>
      </c>
      <c r="L254" s="10"/>
      <c r="M254" s="10"/>
      <c r="N254" s="10"/>
      <c r="O254" s="10"/>
      <c r="P254" s="10"/>
    </row>
    <row r="255" spans="1:16" x14ac:dyDescent="0.25">
      <c r="A255" s="79">
        <v>46152</v>
      </c>
      <c r="B255" s="80">
        <v>16372.375</v>
      </c>
      <c r="C255" s="80">
        <v>4226.1304651162791</v>
      </c>
      <c r="D255" s="145">
        <v>0.25812568213935239</v>
      </c>
      <c r="E255" s="169">
        <v>6.8125682139352384E-2</v>
      </c>
      <c r="F255" s="135">
        <v>0.22617129945006093</v>
      </c>
      <c r="G255" s="135">
        <v>0.21766793313949287</v>
      </c>
      <c r="H255" s="136">
        <v>0.29742440867499309</v>
      </c>
      <c r="I255" s="145">
        <v>-0.13213013252918293</v>
      </c>
      <c r="J255" s="145">
        <v>-9.4308182134507271E-2</v>
      </c>
      <c r="K255" s="145">
        <v>-0.14202134777933872</v>
      </c>
      <c r="L255" s="10"/>
      <c r="M255" s="10"/>
      <c r="N255" s="10"/>
      <c r="O255" s="10"/>
      <c r="P255" s="10"/>
    </row>
    <row r="256" spans="1:16" x14ac:dyDescent="0.25">
      <c r="A256" s="79">
        <v>46159</v>
      </c>
      <c r="B256" s="80">
        <v>16711.074999999997</v>
      </c>
      <c r="C256" s="80">
        <v>3943.170465116279</v>
      </c>
      <c r="D256" s="145">
        <v>0.2359615084676647</v>
      </c>
      <c r="E256" s="169">
        <v>4.5961508467664697E-2</v>
      </c>
      <c r="F256" s="135">
        <v>0.23167183362556659</v>
      </c>
      <c r="G256" s="135">
        <v>0.22317640849984968</v>
      </c>
      <c r="H256" s="136">
        <v>0.24470558827664859</v>
      </c>
      <c r="I256" s="145">
        <v>-3.5733061392526903E-2</v>
      </c>
      <c r="J256" s="145">
        <v>-8.7618207852447907E-2</v>
      </c>
      <c r="K256" s="145">
        <v>-0.13399805733251227</v>
      </c>
      <c r="L256" s="10"/>
      <c r="M256" s="10"/>
      <c r="N256" s="10"/>
      <c r="O256" s="10"/>
      <c r="P256" s="10"/>
    </row>
    <row r="257" spans="1:16" x14ac:dyDescent="0.25">
      <c r="A257" s="79">
        <v>46166</v>
      </c>
      <c r="B257" s="80">
        <v>15505.375</v>
      </c>
      <c r="C257" s="80">
        <v>3664.5497674418607</v>
      </c>
      <c r="D257" s="145">
        <v>0.23634060881738497</v>
      </c>
      <c r="E257" s="169">
        <v>4.6340608817384971E-2</v>
      </c>
      <c r="F257" s="135">
        <v>0.23305384692800529</v>
      </c>
      <c r="G257" s="135">
        <v>0.22599493161524833</v>
      </c>
      <c r="H257" s="136">
        <v>0.25921110303619849</v>
      </c>
      <c r="I257" s="145">
        <v>-8.8231151948841013E-2</v>
      </c>
      <c r="J257" s="145">
        <v>-8.3685600254436873E-2</v>
      </c>
      <c r="K257" s="145">
        <v>-0.13495351683962398</v>
      </c>
      <c r="L257" s="10"/>
      <c r="M257" s="10"/>
      <c r="N257" s="10"/>
      <c r="O257" s="10"/>
      <c r="P257" s="10"/>
    </row>
    <row r="258" spans="1:16" x14ac:dyDescent="0.25">
      <c r="A258" s="79">
        <v>46173</v>
      </c>
      <c r="B258" s="80">
        <v>16324.208333333334</v>
      </c>
      <c r="C258" s="80">
        <v>3747.5497674418607</v>
      </c>
      <c r="D258" s="145">
        <v>0.22957007720794181</v>
      </c>
      <c r="E258" s="169">
        <v>3.9570077207941812E-2</v>
      </c>
      <c r="F258" s="135">
        <v>0.23743751644853747</v>
      </c>
      <c r="G258" s="135">
        <v>0.22755074928528815</v>
      </c>
      <c r="H258" s="136">
        <v>0.20045124857470975</v>
      </c>
      <c r="I258" s="145">
        <v>0.14526638691591512</v>
      </c>
      <c r="J258" s="145">
        <v>-4.2813529066804266E-2</v>
      </c>
      <c r="K258" s="145">
        <v>-7.7925537070188067E-2</v>
      </c>
      <c r="L258" s="10"/>
      <c r="M258" s="10"/>
      <c r="N258" s="10"/>
      <c r="O258" s="10"/>
      <c r="P258" s="10"/>
    </row>
    <row r="259" spans="1:16" x14ac:dyDescent="0.25">
      <c r="A259" s="79">
        <v>46180</v>
      </c>
      <c r="B259" s="80">
        <v>15338.833333333334</v>
      </c>
      <c r="C259" s="80">
        <v>4167.225116279069</v>
      </c>
      <c r="D259" s="145">
        <v>0.27167810130794839</v>
      </c>
      <c r="E259" s="169">
        <v>8.1678101307948392E-2</v>
      </c>
      <c r="F259" s="135">
        <v>0.24061813855101263</v>
      </c>
      <c r="G259" s="135">
        <v>0.22888005839578968</v>
      </c>
      <c r="H259" s="136">
        <v>0.27391236542996339</v>
      </c>
      <c r="I259" s="145">
        <v>-8.1568574624509733E-3</v>
      </c>
      <c r="J259" s="145">
        <v>-5.9694412393537871E-2</v>
      </c>
      <c r="K259" s="145">
        <v>-7.3186450763279384E-2</v>
      </c>
      <c r="L259" s="10"/>
      <c r="M259" s="10"/>
      <c r="N259" s="10"/>
      <c r="O259" s="10"/>
      <c r="P259" s="10"/>
    </row>
    <row r="260" spans="1:16" x14ac:dyDescent="0.25">
      <c r="A260" s="79">
        <v>46187</v>
      </c>
      <c r="B260" s="80">
        <v>14702.92</v>
      </c>
      <c r="C260" s="80">
        <v>4133.5851162790696</v>
      </c>
      <c r="D260" s="145">
        <v>0.28114042083334939</v>
      </c>
      <c r="E260" s="169">
        <v>9.1140420833349389E-2</v>
      </c>
      <c r="F260" s="135">
        <v>0.24462998236943159</v>
      </c>
      <c r="G260" s="135">
        <v>0.23324180401877995</v>
      </c>
      <c r="H260" s="136">
        <v>0.22974397929668472</v>
      </c>
      <c r="I260" s="145">
        <v>0.22371181039870819</v>
      </c>
      <c r="J260" s="145">
        <v>-1.5408672260538688E-2</v>
      </c>
      <c r="K260" s="145">
        <v>-4.9743981505105832E-2</v>
      </c>
      <c r="L260" s="10"/>
      <c r="M260" s="10"/>
      <c r="N260" s="10"/>
      <c r="O260" s="10"/>
      <c r="P260" s="10"/>
    </row>
    <row r="261" spans="1:16" x14ac:dyDescent="0.25">
      <c r="A261" s="79">
        <v>46194</v>
      </c>
      <c r="B261" s="80">
        <v>18260.62</v>
      </c>
      <c r="C261" s="80">
        <v>3796.4351162790699</v>
      </c>
      <c r="D261" s="145">
        <v>0.20790285961150662</v>
      </c>
      <c r="E261" s="169">
        <v>1.7902859611506616E-2</v>
      </c>
      <c r="F261" s="135">
        <v>0.24447773168757911</v>
      </c>
      <c r="G261" s="135">
        <v>0.23306009073566933</v>
      </c>
      <c r="H261" s="136">
        <v>0.31176156903721813</v>
      </c>
      <c r="I261" s="145">
        <v>-0.33313506134334619</v>
      </c>
      <c r="J261" s="145">
        <v>-5.3098425615172799E-2</v>
      </c>
      <c r="K261" s="145">
        <v>-6.8045203782587535E-2</v>
      </c>
      <c r="L261" s="10"/>
      <c r="M261" s="10"/>
      <c r="N261" s="10"/>
      <c r="O261" s="10"/>
      <c r="P261" s="10"/>
    </row>
    <row r="262" spans="1:16" x14ac:dyDescent="0.25">
      <c r="A262" s="79">
        <v>46201</v>
      </c>
      <c r="B262" s="80">
        <v>13418.21</v>
      </c>
      <c r="C262" s="80">
        <v>3531.8495348837209</v>
      </c>
      <c r="D262" s="145">
        <v>0.26321316590541666</v>
      </c>
      <c r="E262" s="169">
        <v>7.3213165905416655E-2</v>
      </c>
      <c r="F262" s="135">
        <v>0.24473118999782345</v>
      </c>
      <c r="G262" s="135">
        <v>0.23795446988787927</v>
      </c>
      <c r="H262" s="136">
        <v>0.21607938758656847</v>
      </c>
      <c r="I262" s="145">
        <v>0.21813176557604252</v>
      </c>
      <c r="J262" s="145">
        <v>-5.7945160994210317E-3</v>
      </c>
      <c r="K262" s="145">
        <v>-4.8145689370617674E-2</v>
      </c>
      <c r="L262" s="10"/>
      <c r="M262" s="10"/>
      <c r="N262" s="10"/>
      <c r="O262" s="10"/>
      <c r="P262" s="10"/>
    </row>
    <row r="263" spans="1:16" x14ac:dyDescent="0.25">
      <c r="A263" s="79">
        <v>46208</v>
      </c>
      <c r="B263" s="80">
        <v>14837.5</v>
      </c>
      <c r="C263" s="80">
        <v>3914.2595348837212</v>
      </c>
      <c r="D263" s="145">
        <v>0.26380856174447997</v>
      </c>
      <c r="E263" s="169">
        <v>7.3808561744479972E-2</v>
      </c>
      <c r="F263" s="135">
        <v>0.24869484492536087</v>
      </c>
      <c r="G263" s="135">
        <v>0.2406991796993504</v>
      </c>
      <c r="H263" s="136">
        <v>0.22627012741243452</v>
      </c>
      <c r="I263" s="145">
        <v>0.16590097314800273</v>
      </c>
      <c r="J263" s="145">
        <v>2.1091991922002416E-2</v>
      </c>
      <c r="K263" s="145">
        <v>-2.7905653205780527E-2</v>
      </c>
      <c r="L263" s="10"/>
      <c r="M263" s="10"/>
      <c r="N263" s="10"/>
      <c r="O263" s="10"/>
      <c r="P263" s="10"/>
    </row>
    <row r="264" spans="1:16" x14ac:dyDescent="0.25">
      <c r="A264" s="79">
        <v>46215</v>
      </c>
      <c r="B264" s="80">
        <v>12852.380000000001</v>
      </c>
      <c r="C264" s="80">
        <v>4073.2895348837214</v>
      </c>
      <c r="D264" s="145">
        <v>0.31692881278671509</v>
      </c>
      <c r="E264" s="169">
        <v>0.12692881278671508</v>
      </c>
      <c r="F264" s="135">
        <v>0.25880057401792567</v>
      </c>
      <c r="G264" s="135">
        <v>0.24890619525210125</v>
      </c>
      <c r="H264" s="136">
        <v>0.23360367254985373</v>
      </c>
      <c r="I264" s="145">
        <v>0.35669447884676903</v>
      </c>
      <c r="J264" s="145">
        <v>8.4181208221655937E-2</v>
      </c>
      <c r="K264" s="145">
        <v>1.2018796865336868E-2</v>
      </c>
      <c r="L264" s="10"/>
      <c r="M264" s="10"/>
      <c r="N264" s="10"/>
      <c r="O264" s="10"/>
      <c r="P264" s="10"/>
    </row>
    <row r="265" spans="1:16" x14ac:dyDescent="0.25">
      <c r="A265" s="79">
        <v>46222</v>
      </c>
      <c r="B265" s="80">
        <v>17201.55</v>
      </c>
      <c r="C265" s="80">
        <v>3514.4795348837206</v>
      </c>
      <c r="D265" s="145">
        <v>0.20431179369787728</v>
      </c>
      <c r="E265" s="169">
        <v>1.4311793697877273E-2</v>
      </c>
      <c r="F265" s="135">
        <v>0.25448467428847688</v>
      </c>
      <c r="G265" s="135">
        <v>0.24542400813805279</v>
      </c>
      <c r="H265" s="136">
        <v>0.22361584679229238</v>
      </c>
      <c r="I265" s="145">
        <v>-8.6326856398267024E-2</v>
      </c>
      <c r="J265" s="145">
        <v>5.4809028072277867E-2</v>
      </c>
      <c r="K265" s="145">
        <v>-3.4172800347782965E-3</v>
      </c>
      <c r="L265" s="10"/>
      <c r="M265" s="10"/>
      <c r="N265" s="10"/>
      <c r="O265" s="10"/>
      <c r="P265" s="10"/>
    </row>
    <row r="266" spans="1:16" x14ac:dyDescent="0.25">
      <c r="A266" s="9"/>
      <c r="B266" s="126"/>
      <c r="C266" s="126"/>
      <c r="D266" s="127"/>
      <c r="E266" s="127"/>
      <c r="F266" s="127"/>
      <c r="G266" s="127"/>
      <c r="H266" s="10"/>
      <c r="I266" s="10"/>
      <c r="J266" s="10"/>
      <c r="K266" s="10"/>
      <c r="L266" s="10"/>
      <c r="M266" s="10"/>
      <c r="N266" s="10"/>
      <c r="O266" s="10"/>
      <c r="P266" s="10"/>
    </row>
    <row r="267" spans="1:16" outlineLevel="1" x14ac:dyDescent="0.25">
      <c r="A267" s="9" t="s">
        <v>59</v>
      </c>
      <c r="B267" s="64" t="s">
        <v>132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spans="1:16" outlineLevel="1" x14ac:dyDescent="0.25">
      <c r="A268" s="9" t="s">
        <v>61</v>
      </c>
      <c r="B268" s="65">
        <v>28</v>
      </c>
      <c r="C268" s="65">
        <v>33</v>
      </c>
      <c r="D268" s="65">
        <v>34</v>
      </c>
      <c r="E268" s="10"/>
      <c r="F268" s="65">
        <v>36</v>
      </c>
      <c r="G268" s="65">
        <v>38</v>
      </c>
      <c r="H268" s="65" t="s">
        <v>153</v>
      </c>
      <c r="I268" s="65" t="s">
        <v>154</v>
      </c>
      <c r="J268" s="65" t="s">
        <v>155</v>
      </c>
      <c r="K268" s="65" t="s">
        <v>156</v>
      </c>
      <c r="L268" s="10"/>
      <c r="M268" s="10"/>
      <c r="N268" s="10"/>
      <c r="O268" s="10"/>
      <c r="P268" s="10"/>
    </row>
    <row r="269" spans="1:16" ht="18.75" x14ac:dyDescent="0.3">
      <c r="A269" s="85" t="s">
        <v>157</v>
      </c>
      <c r="B269" s="85"/>
      <c r="C269" s="85"/>
      <c r="D269" s="85"/>
      <c r="E269" s="173">
        <v>2.5000000000000001E-2</v>
      </c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</row>
    <row r="270" spans="1:16" x14ac:dyDescent="0.25">
      <c r="A270" s="67" t="s">
        <v>63</v>
      </c>
      <c r="B270" s="86" t="s">
        <v>158</v>
      </c>
      <c r="C270" s="87"/>
      <c r="D270" s="87"/>
      <c r="E270" s="87"/>
      <c r="F270" s="87"/>
      <c r="G270" s="174"/>
      <c r="H270" s="70" t="s">
        <v>65</v>
      </c>
      <c r="I270" s="71"/>
      <c r="J270" s="71"/>
      <c r="K270" s="72"/>
      <c r="L270" s="10"/>
      <c r="M270" s="78"/>
      <c r="N270" s="10"/>
      <c r="O270" s="10"/>
      <c r="P270" s="10"/>
    </row>
    <row r="271" spans="1:16" ht="29.25" customHeight="1" x14ac:dyDescent="0.25">
      <c r="A271" s="73"/>
      <c r="B271" s="175" t="s">
        <v>22</v>
      </c>
      <c r="C271" s="175" t="s">
        <v>137</v>
      </c>
      <c r="D271" s="176" t="s">
        <v>138</v>
      </c>
      <c r="E271" s="103" t="s">
        <v>146</v>
      </c>
      <c r="F271" s="177" t="s">
        <v>70</v>
      </c>
      <c r="G271" s="177" t="s">
        <v>71</v>
      </c>
      <c r="H271" s="76" t="s">
        <v>139</v>
      </c>
      <c r="I271" s="77" t="s">
        <v>73</v>
      </c>
      <c r="J271" s="77" t="s">
        <v>74</v>
      </c>
      <c r="K271" s="77" t="s">
        <v>75</v>
      </c>
      <c r="L271" s="10"/>
      <c r="M271" s="78"/>
      <c r="N271" s="10"/>
      <c r="O271" s="10"/>
      <c r="P271" s="10"/>
    </row>
    <row r="272" spans="1:16" x14ac:dyDescent="0.25">
      <c r="A272" s="79">
        <v>46138</v>
      </c>
      <c r="B272" s="80">
        <v>18001.333333333336</v>
      </c>
      <c r="C272" s="80">
        <v>458.54</v>
      </c>
      <c r="D272" s="178">
        <v>2.547255758832679E-2</v>
      </c>
      <c r="E272" s="169">
        <v>4.7255758832678851E-4</v>
      </c>
      <c r="F272" s="135">
        <v>2.8259586450544331E-2</v>
      </c>
      <c r="G272" s="135">
        <v>2.6678324392565747E-2</v>
      </c>
      <c r="H272" s="136">
        <v>3.9025561100642418E-2</v>
      </c>
      <c r="I272" s="145">
        <v>-0.34728529533153918</v>
      </c>
      <c r="J272" s="145">
        <v>-0.23530417119064653</v>
      </c>
      <c r="K272" s="145">
        <v>-0.22343155937064751</v>
      </c>
      <c r="L272" s="10"/>
      <c r="M272" s="78"/>
      <c r="N272" s="10"/>
      <c r="O272" s="10"/>
      <c r="P272" s="10"/>
    </row>
    <row r="273" spans="1:16" x14ac:dyDescent="0.25">
      <c r="A273" s="79">
        <v>46145</v>
      </c>
      <c r="B273" s="80">
        <v>18951.125</v>
      </c>
      <c r="C273" s="80">
        <v>308.14</v>
      </c>
      <c r="D273" s="178">
        <v>1.6259720728980468E-2</v>
      </c>
      <c r="E273" s="169">
        <v>-8.7402792710195333E-3</v>
      </c>
      <c r="F273" s="135">
        <v>2.600005319201773E-2</v>
      </c>
      <c r="G273" s="135">
        <v>2.5621246114875078E-2</v>
      </c>
      <c r="H273" s="136">
        <v>4.0380977211435833E-2</v>
      </c>
      <c r="I273" s="145">
        <v>-0.59734206916677246</v>
      </c>
      <c r="J273" s="145">
        <v>-0.32223970860223167</v>
      </c>
      <c r="K273" s="145">
        <v>-0.26563855720490454</v>
      </c>
      <c r="L273" s="10"/>
      <c r="M273" s="78"/>
      <c r="N273" s="10"/>
      <c r="O273" s="10"/>
      <c r="P273" s="10"/>
    </row>
    <row r="274" spans="1:16" x14ac:dyDescent="0.25">
      <c r="A274" s="79">
        <v>46152</v>
      </c>
      <c r="B274" s="80">
        <v>16372.375</v>
      </c>
      <c r="C274" s="80">
        <v>520.1</v>
      </c>
      <c r="D274" s="178">
        <v>3.176692446880798E-2</v>
      </c>
      <c r="E274" s="169">
        <v>6.7669244688079791E-3</v>
      </c>
      <c r="F274" s="135">
        <v>2.6016292114178184E-2</v>
      </c>
      <c r="G274" s="135">
        <v>2.6251664763588093E-2</v>
      </c>
      <c r="H274" s="136">
        <v>4.4795481217857584E-2</v>
      </c>
      <c r="I274" s="145">
        <v>-0.29084533517313366</v>
      </c>
      <c r="J274" s="145">
        <v>-0.33754687292118596</v>
      </c>
      <c r="K274" s="145">
        <v>-0.26569581995531483</v>
      </c>
      <c r="L274" s="10"/>
      <c r="M274" s="78"/>
      <c r="N274" s="10"/>
      <c r="O274" s="10"/>
      <c r="P274" s="10"/>
    </row>
    <row r="275" spans="1:16" x14ac:dyDescent="0.25">
      <c r="A275" s="79">
        <v>46159</v>
      </c>
      <c r="B275" s="80">
        <v>16711.074999999997</v>
      </c>
      <c r="C275" s="80">
        <v>465.82</v>
      </c>
      <c r="D275" s="178">
        <v>2.7874927256325524E-2</v>
      </c>
      <c r="E275" s="169">
        <v>2.8749272563255227E-3</v>
      </c>
      <c r="F275" s="135">
        <v>2.6397140224619978E-2</v>
      </c>
      <c r="G275" s="135">
        <v>2.713994815500478E-2</v>
      </c>
      <c r="H275" s="136">
        <v>3.8097142589323382E-2</v>
      </c>
      <c r="I275" s="145">
        <v>-0.26831973839063211</v>
      </c>
      <c r="J275" s="145">
        <v>-0.33787290226091021</v>
      </c>
      <c r="K275" s="145">
        <v>-0.26191433898711558</v>
      </c>
      <c r="L275" s="10"/>
      <c r="M275" s="78"/>
      <c r="N275" s="10"/>
      <c r="O275" s="10"/>
      <c r="P275" s="10"/>
    </row>
    <row r="276" spans="1:16" x14ac:dyDescent="0.25">
      <c r="A276" s="79">
        <v>46166</v>
      </c>
      <c r="B276" s="80">
        <v>15505.375</v>
      </c>
      <c r="C276" s="80">
        <v>658.07</v>
      </c>
      <c r="D276" s="178">
        <v>4.2441411446030815E-2</v>
      </c>
      <c r="E276" s="169">
        <v>1.7441411446030813E-2</v>
      </c>
      <c r="F276" s="135">
        <v>2.7743045477459864E-2</v>
      </c>
      <c r="G276" s="135">
        <v>2.8574367022694256E-2</v>
      </c>
      <c r="H276" s="136">
        <v>5.1703093319910749E-2</v>
      </c>
      <c r="I276" s="145">
        <v>-0.17913206501153928</v>
      </c>
      <c r="J276" s="145">
        <v>-0.32614857332312036</v>
      </c>
      <c r="K276" s="145">
        <v>-0.24956238719563523</v>
      </c>
      <c r="L276" s="10"/>
      <c r="M276" s="78"/>
      <c r="N276" s="10"/>
      <c r="O276" s="10"/>
      <c r="P276" s="10"/>
    </row>
    <row r="277" spans="1:16" x14ac:dyDescent="0.25">
      <c r="A277" s="79">
        <v>46173</v>
      </c>
      <c r="B277" s="80">
        <v>16324.208333333334</v>
      </c>
      <c r="C277" s="80">
        <v>597.20000000000005</v>
      </c>
      <c r="D277" s="178">
        <v>3.6583703650764077E-2</v>
      </c>
      <c r="E277" s="169">
        <v>1.1583703650764075E-2</v>
      </c>
      <c r="F277" s="135">
        <v>2.9328457444942037E-2</v>
      </c>
      <c r="G277" s="135">
        <v>2.8895865164543063E-2</v>
      </c>
      <c r="H277" s="136">
        <v>4.0409768817217626E-2</v>
      </c>
      <c r="I277" s="145">
        <v>-9.4681689067801722E-2</v>
      </c>
      <c r="J277" s="145">
        <v>-0.2994528263125944</v>
      </c>
      <c r="K277" s="145">
        <v>-0.25317402856105659</v>
      </c>
      <c r="L277" s="10"/>
      <c r="M277" s="78"/>
      <c r="N277" s="10"/>
      <c r="O277" s="10"/>
      <c r="P277" s="10"/>
    </row>
    <row r="278" spans="1:16" x14ac:dyDescent="0.25">
      <c r="A278" s="79">
        <v>46180</v>
      </c>
      <c r="B278" s="80">
        <v>15338.833333333334</v>
      </c>
      <c r="C278" s="80">
        <v>562.03</v>
      </c>
      <c r="D278" s="178">
        <v>3.6640987471885079E-2</v>
      </c>
      <c r="E278" s="169">
        <v>1.1640987471885078E-2</v>
      </c>
      <c r="F278" s="135">
        <v>3.0458773599011814E-2</v>
      </c>
      <c r="G278" s="135">
        <v>2.9606830833313488E-2</v>
      </c>
      <c r="H278" s="136">
        <v>4.3755418359527495E-2</v>
      </c>
      <c r="I278" s="145">
        <v>-0.16259542599238544</v>
      </c>
      <c r="J278" s="145">
        <v>-0.27208607785290134</v>
      </c>
      <c r="K278" s="145">
        <v>-0.2480227851564536</v>
      </c>
      <c r="L278" s="10"/>
      <c r="M278" s="78"/>
      <c r="N278" s="10"/>
      <c r="O278" s="10"/>
      <c r="P278" s="10"/>
    </row>
    <row r="279" spans="1:16" x14ac:dyDescent="0.25">
      <c r="A279" s="79">
        <v>46187</v>
      </c>
      <c r="B279" s="80">
        <v>14702.92</v>
      </c>
      <c r="C279" s="80">
        <v>625.56000000000006</v>
      </c>
      <c r="D279" s="178">
        <v>4.2546650597296322E-2</v>
      </c>
      <c r="E279" s="169">
        <v>1.754665059729632E-2</v>
      </c>
      <c r="F279" s="135">
        <v>3.28070768700372E-2</v>
      </c>
      <c r="G279" s="135">
        <v>3.0266749615720085E-2</v>
      </c>
      <c r="H279" s="136">
        <v>3.7797965988695975E-2</v>
      </c>
      <c r="I279" s="145">
        <v>0.12563333725472184</v>
      </c>
      <c r="J279" s="145">
        <v>-0.21157659509823354</v>
      </c>
      <c r="K279" s="145">
        <v>-0.23870126737797029</v>
      </c>
      <c r="L279" s="10"/>
      <c r="M279" s="78"/>
      <c r="N279" s="10"/>
      <c r="O279" s="10"/>
      <c r="P279" s="10"/>
    </row>
    <row r="280" spans="1:16" x14ac:dyDescent="0.25">
      <c r="A280" s="79">
        <v>46194</v>
      </c>
      <c r="B280" s="80">
        <v>18260.62</v>
      </c>
      <c r="C280" s="80">
        <v>554.33000000000004</v>
      </c>
      <c r="D280" s="178">
        <v>3.0356581539947716E-2</v>
      </c>
      <c r="E280" s="169">
        <v>5.3565815399477142E-3</v>
      </c>
      <c r="F280" s="135">
        <v>3.5181695824555333E-2</v>
      </c>
      <c r="G280" s="135">
        <v>3.0211246640082547E-2</v>
      </c>
      <c r="H280" s="136">
        <v>5.8472141773042899E-2</v>
      </c>
      <c r="I280" s="145">
        <v>-0.48083684606978344</v>
      </c>
      <c r="J280" s="145">
        <v>-0.21210554858202088</v>
      </c>
      <c r="K280" s="145">
        <v>-0.26916992975454318</v>
      </c>
      <c r="L280" s="10"/>
      <c r="M280" s="78"/>
      <c r="N280" s="10"/>
      <c r="O280" s="10"/>
      <c r="P280" s="10"/>
    </row>
    <row r="281" spans="1:16" x14ac:dyDescent="0.25">
      <c r="A281" s="79">
        <v>46201</v>
      </c>
      <c r="B281" s="80">
        <v>13418.21</v>
      </c>
      <c r="C281" s="80">
        <v>638.56999999999994</v>
      </c>
      <c r="D281" s="178">
        <v>4.758980519756361E-2</v>
      </c>
      <c r="E281" s="169">
        <v>2.2589805197563609E-2</v>
      </c>
      <c r="F281" s="135">
        <v>3.7198746703756357E-2</v>
      </c>
      <c r="G281" s="135">
        <v>3.1752468159921977E-2</v>
      </c>
      <c r="H281" s="136">
        <v>4.0965180973711594E-2</v>
      </c>
      <c r="I281" s="145">
        <v>0.16171353491891582</v>
      </c>
      <c r="J281" s="145">
        <v>-0.1515634215151839</v>
      </c>
      <c r="K281" s="145">
        <v>-0.23806304478213161</v>
      </c>
      <c r="L281" s="10"/>
      <c r="M281" s="78"/>
      <c r="N281" s="10"/>
      <c r="O281" s="10"/>
      <c r="P281" s="10"/>
    </row>
    <row r="282" spans="1:16" x14ac:dyDescent="0.25">
      <c r="A282" s="79">
        <v>46208</v>
      </c>
      <c r="B282" s="80">
        <v>14837.5</v>
      </c>
      <c r="C282" s="80">
        <v>649.32999999999993</v>
      </c>
      <c r="D282" s="178">
        <v>4.3762763268744731E-2</v>
      </c>
      <c r="E282" s="169">
        <v>1.876276326874473E-2</v>
      </c>
      <c r="F282" s="135">
        <v>3.9534848675894865E-2</v>
      </c>
      <c r="G282" s="135">
        <v>3.2625884962687049E-2</v>
      </c>
      <c r="H282" s="136">
        <v>4.4738241675775323E-2</v>
      </c>
      <c r="I282" s="145">
        <v>-2.1804129319610469E-2</v>
      </c>
      <c r="J282" s="145">
        <v>-0.11930434082078495</v>
      </c>
      <c r="K282" s="145">
        <v>-0.2221690530941586</v>
      </c>
      <c r="L282" s="10"/>
      <c r="M282" s="78"/>
      <c r="N282" s="10"/>
      <c r="O282" s="10"/>
      <c r="P282" s="10"/>
    </row>
    <row r="283" spans="1:16" x14ac:dyDescent="0.25">
      <c r="A283" s="79">
        <v>46215</v>
      </c>
      <c r="B283" s="80">
        <v>12852.380000000001</v>
      </c>
      <c r="C283" s="80">
        <v>496.25</v>
      </c>
      <c r="D283" s="178">
        <v>3.8611525647389816E-2</v>
      </c>
      <c r="E283" s="169">
        <v>1.3611525647389815E-2</v>
      </c>
      <c r="F283" s="135">
        <v>3.8996385338943451E-2</v>
      </c>
      <c r="G283" s="135">
        <v>3.3670440863280235E-2</v>
      </c>
      <c r="H283" s="136">
        <v>4.3509791181507176E-2</v>
      </c>
      <c r="I283" s="145">
        <v>-0.11257846569944592</v>
      </c>
      <c r="J283" s="145">
        <v>-0.10836962053922987</v>
      </c>
      <c r="K283" s="145">
        <v>-0.2096767188038241</v>
      </c>
      <c r="L283" s="10"/>
      <c r="M283" s="78"/>
      <c r="N283" s="10"/>
      <c r="O283" s="10"/>
      <c r="P283" s="10"/>
    </row>
    <row r="284" spans="1:16" x14ac:dyDescent="0.25">
      <c r="A284" s="79">
        <v>46222</v>
      </c>
      <c r="B284" s="80">
        <v>17201.55</v>
      </c>
      <c r="C284" s="80">
        <v>804.54000000000008</v>
      </c>
      <c r="D284" s="178">
        <v>4.6771366533829808E-2</v>
      </c>
      <c r="E284" s="169">
        <v>2.1771366533829807E-2</v>
      </c>
      <c r="F284" s="135">
        <v>4.0620281566767766E-2</v>
      </c>
      <c r="G284" s="135">
        <v>3.5200344516786115E-2</v>
      </c>
      <c r="H284" s="136">
        <v>4.2477340913923037E-2</v>
      </c>
      <c r="I284" s="145">
        <v>0.10108979346443259</v>
      </c>
      <c r="J284" s="145">
        <v>-8.1601181879500106E-2</v>
      </c>
      <c r="K284" s="145">
        <v>-0.17566550543387519</v>
      </c>
      <c r="L284" s="10"/>
      <c r="M284" s="78"/>
      <c r="N284" s="10"/>
      <c r="O284" s="10"/>
      <c r="P284" s="10"/>
    </row>
    <row r="285" spans="1:16" x14ac:dyDescent="0.25">
      <c r="A285" s="10"/>
      <c r="B285" s="126"/>
      <c r="C285" s="126"/>
      <c r="D285" s="127"/>
      <c r="E285" s="127"/>
      <c r="F285" s="127"/>
      <c r="G285" s="127"/>
      <c r="H285" s="10"/>
      <c r="I285" s="10"/>
      <c r="J285" s="10"/>
      <c r="K285" s="10"/>
      <c r="L285" s="10"/>
      <c r="M285" s="10"/>
      <c r="N285" s="10"/>
      <c r="O285" s="10"/>
      <c r="P285" s="10"/>
    </row>
    <row r="286" spans="1:16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spans="1:16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spans="1:16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spans="1:16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spans="1:16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spans="1:16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spans="1:16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</sheetData>
  <mergeCells count="97">
    <mergeCell ref="A251:A252"/>
    <mergeCell ref="B251:G251"/>
    <mergeCell ref="H251:K251"/>
    <mergeCell ref="A270:A271"/>
    <mergeCell ref="B270:G270"/>
    <mergeCell ref="H270:K270"/>
    <mergeCell ref="A213:A214"/>
    <mergeCell ref="B213:F213"/>
    <mergeCell ref="G213:I213"/>
    <mergeCell ref="J213:L213"/>
    <mergeCell ref="A232:A233"/>
    <mergeCell ref="B232:G232"/>
    <mergeCell ref="H232:K232"/>
    <mergeCell ref="A193:P193"/>
    <mergeCell ref="A194:A195"/>
    <mergeCell ref="B194:F194"/>
    <mergeCell ref="G194:J194"/>
    <mergeCell ref="K194:L194"/>
    <mergeCell ref="A212:P212"/>
    <mergeCell ref="A155:P155"/>
    <mergeCell ref="A156:A157"/>
    <mergeCell ref="B156:F156"/>
    <mergeCell ref="G156:J156"/>
    <mergeCell ref="A174:P174"/>
    <mergeCell ref="A175:A176"/>
    <mergeCell ref="B175:F175"/>
    <mergeCell ref="G175:J175"/>
    <mergeCell ref="K175:L175"/>
    <mergeCell ref="A118:A119"/>
    <mergeCell ref="B118:D118"/>
    <mergeCell ref="E118:H118"/>
    <mergeCell ref="A136:P136"/>
    <mergeCell ref="A137:A138"/>
    <mergeCell ref="B137:D137"/>
    <mergeCell ref="E137:H137"/>
    <mergeCell ref="A80:A81"/>
    <mergeCell ref="B80:E80"/>
    <mergeCell ref="F80:G80"/>
    <mergeCell ref="I80:J80"/>
    <mergeCell ref="A98:P98"/>
    <mergeCell ref="A99:A100"/>
    <mergeCell ref="B99:E99"/>
    <mergeCell ref="F99:G99"/>
    <mergeCell ref="I99:J99"/>
    <mergeCell ref="A61:A62"/>
    <mergeCell ref="B61:D61"/>
    <mergeCell ref="E61:G61"/>
    <mergeCell ref="H61:J61"/>
    <mergeCell ref="K61:N61"/>
    <mergeCell ref="A79:P79"/>
    <mergeCell ref="A35:P35"/>
    <mergeCell ref="A36:P36"/>
    <mergeCell ref="A37:P37"/>
    <mergeCell ref="A41:P41"/>
    <mergeCell ref="A42:A43"/>
    <mergeCell ref="B42:G42"/>
    <mergeCell ref="H42:K42"/>
    <mergeCell ref="F26:F27"/>
    <mergeCell ref="J26:J27"/>
    <mergeCell ref="A31:P31"/>
    <mergeCell ref="A32:P32"/>
    <mergeCell ref="A33:P33"/>
    <mergeCell ref="A34:P34"/>
    <mergeCell ref="A22:C23"/>
    <mergeCell ref="E22:G23"/>
    <mergeCell ref="I22:K23"/>
    <mergeCell ref="A24:C24"/>
    <mergeCell ref="E24:G24"/>
    <mergeCell ref="I24:K24"/>
    <mergeCell ref="A16:C16"/>
    <mergeCell ref="E16:G16"/>
    <mergeCell ref="I16:K16"/>
    <mergeCell ref="M16:O16"/>
    <mergeCell ref="A21:C21"/>
    <mergeCell ref="E21:G21"/>
    <mergeCell ref="I21:K21"/>
    <mergeCell ref="A13:C13"/>
    <mergeCell ref="E13:G13"/>
    <mergeCell ref="I13:K13"/>
    <mergeCell ref="M13:O13"/>
    <mergeCell ref="A14:C15"/>
    <mergeCell ref="E14:G15"/>
    <mergeCell ref="I14:K15"/>
    <mergeCell ref="M14:O15"/>
    <mergeCell ref="A6:C11"/>
    <mergeCell ref="E6:G7"/>
    <mergeCell ref="I6:K7"/>
    <mergeCell ref="M6:O7"/>
    <mergeCell ref="E8:G8"/>
    <mergeCell ref="I8:K8"/>
    <mergeCell ref="M8:O8"/>
    <mergeCell ref="A1:M3"/>
    <mergeCell ref="N2:P3"/>
    <mergeCell ref="A5:C5"/>
    <mergeCell ref="E5:G5"/>
    <mergeCell ref="I5:K5"/>
    <mergeCell ref="M5:O5"/>
  </mergeCells>
  <conditionalFormatting sqref="A16">
    <cfRule type="containsText" dxfId="117" priority="115" operator="containsText" text="Up">
      <formula>NOT(ISERROR(SEARCH("Up",A16)))</formula>
    </cfRule>
    <cfRule type="containsText" dxfId="116" priority="116" operator="containsText" text="Down">
      <formula>NOT(ISERROR(SEARCH("Down",A16)))</formula>
    </cfRule>
  </conditionalFormatting>
  <conditionalFormatting sqref="A19">
    <cfRule type="containsText" dxfId="115" priority="113" operator="containsText" text="Up">
      <formula>NOT(ISERROR(SEARCH("Up",A19)))</formula>
    </cfRule>
    <cfRule type="containsText" dxfId="114" priority="114" operator="containsText" text="Down">
      <formula>NOT(ISERROR(SEARCH("Down",A19)))</formula>
    </cfRule>
  </conditionalFormatting>
  <conditionalFormatting sqref="A24">
    <cfRule type="containsText" dxfId="113" priority="54" operator="containsText" text="Down">
      <formula>NOT(ISERROR(SEARCH("Down",A24)))</formula>
    </cfRule>
    <cfRule type="containsText" dxfId="112" priority="55" operator="containsText" text="Up">
      <formula>NOT(ISERROR(SEARCH("Up",A24)))</formula>
    </cfRule>
  </conditionalFormatting>
  <conditionalFormatting sqref="A27">
    <cfRule type="containsText" dxfId="111" priority="52" operator="containsText" text="Down">
      <formula>NOT(ISERROR(SEARCH("Down",A27)))</formula>
    </cfRule>
    <cfRule type="containsText" dxfId="110" priority="53" operator="containsText" text="Up">
      <formula>NOT(ISERROR(SEARCH("Up",A27)))</formula>
    </cfRule>
  </conditionalFormatting>
  <conditionalFormatting sqref="A6:C11">
    <cfRule type="expression" dxfId="109" priority="126">
      <formula>ISNUMBER(SEARCH("Down",$A$16))</formula>
    </cfRule>
    <cfRule type="expression" dxfId="108" priority="127">
      <formula>ISNUMBER(SEARCH("up",$A$16))</formula>
    </cfRule>
  </conditionalFormatting>
  <conditionalFormatting sqref="C19">
    <cfRule type="containsText" dxfId="107" priority="111" operator="containsText" text="Up">
      <formula>NOT(ISERROR(SEARCH("Up",C19)))</formula>
    </cfRule>
    <cfRule type="containsText" dxfId="106" priority="112" operator="containsText" text="Down">
      <formula>NOT(ISERROR(SEARCH("Down",C19)))</formula>
    </cfRule>
  </conditionalFormatting>
  <conditionalFormatting sqref="C27">
    <cfRule type="containsText" dxfId="105" priority="50" operator="containsText" text="Down">
      <formula>NOT(ISERROR(SEARCH("Down",C27)))</formula>
    </cfRule>
    <cfRule type="containsText" dxfId="104" priority="51" operator="containsText" text="Up">
      <formula>NOT(ISERROR(SEARCH("Up",C27)))</formula>
    </cfRule>
  </conditionalFormatting>
  <conditionalFormatting sqref="D63:D75">
    <cfRule type="cellIs" dxfId="103" priority="29" operator="lessThan">
      <formula>0</formula>
    </cfRule>
    <cfRule type="cellIs" dxfId="102" priority="30" operator="greaterThan">
      <formula>0</formula>
    </cfRule>
    <cfRule type="cellIs" priority="31" operator="between"/>
    <cfRule type="expression" dxfId="101" priority="32"/>
    <cfRule type="expression" dxfId="100" priority="33"/>
  </conditionalFormatting>
  <conditionalFormatting sqref="E8">
    <cfRule type="containsText" dxfId="99" priority="48" operator="containsText" text="Up">
      <formula>NOT(ISERROR(SEARCH("Up",E8)))</formula>
    </cfRule>
    <cfRule type="containsText" dxfId="98" priority="49" operator="containsText" text="Down">
      <formula>NOT(ISERROR(SEARCH("Down",E8)))</formula>
    </cfRule>
  </conditionalFormatting>
  <conditionalFormatting sqref="E11">
    <cfRule type="containsText" dxfId="97" priority="46" operator="containsText" text="Up">
      <formula>NOT(ISERROR(SEARCH("Up",E11)))</formula>
    </cfRule>
    <cfRule type="containsText" dxfId="96" priority="47" operator="containsText" text="Down">
      <formula>NOT(ISERROR(SEARCH("Down",E11)))</formula>
    </cfRule>
  </conditionalFormatting>
  <conditionalFormatting sqref="E16">
    <cfRule type="containsText" dxfId="95" priority="60" operator="containsText" text="Up">
      <formula>NOT(ISERROR(SEARCH("Up",E16)))</formula>
    </cfRule>
    <cfRule type="containsText" dxfId="94" priority="61" operator="containsText" text="Down">
      <formula>NOT(ISERROR(SEARCH("Down",E16)))</formula>
    </cfRule>
  </conditionalFormatting>
  <conditionalFormatting sqref="E19">
    <cfRule type="containsText" dxfId="93" priority="58" operator="containsText" text="Up">
      <formula>NOT(ISERROR(SEARCH("Up",E19)))</formula>
    </cfRule>
    <cfRule type="containsText" dxfId="92" priority="59" operator="containsText" text="Down">
      <formula>NOT(ISERROR(SEARCH("Down",E19)))</formula>
    </cfRule>
  </conditionalFormatting>
  <conditionalFormatting sqref="E24">
    <cfRule type="containsText" dxfId="91" priority="21" operator="containsText" text="Down">
      <formula>NOT(ISERROR(SEARCH("Down",E24)))</formula>
    </cfRule>
    <cfRule type="containsText" dxfId="90" priority="22" operator="containsText" text="Up">
      <formula>NOT(ISERROR(SEARCH("Up",E24)))</formula>
    </cfRule>
  </conditionalFormatting>
  <conditionalFormatting sqref="E27">
    <cfRule type="containsText" dxfId="89" priority="19" operator="containsText" text="Down">
      <formula>NOT(ISERROR(SEARCH("Down",E27)))</formula>
    </cfRule>
    <cfRule type="containsText" dxfId="88" priority="20" operator="containsText" text="Up">
      <formula>NOT(ISERROR(SEARCH("Up",E27)))</formula>
    </cfRule>
  </conditionalFormatting>
  <conditionalFormatting sqref="E234:E246">
    <cfRule type="cellIs" dxfId="87" priority="117" operator="lessThan">
      <formula>0</formula>
    </cfRule>
    <cfRule type="cellIs" dxfId="86" priority="118" operator="greaterThan">
      <formula>0</formula>
    </cfRule>
  </conditionalFormatting>
  <conditionalFormatting sqref="E253:E265">
    <cfRule type="cellIs" dxfId="85" priority="9" operator="lessThan">
      <formula>0</formula>
    </cfRule>
    <cfRule type="cellIs" dxfId="84" priority="10" operator="greaterThan">
      <formula>0</formula>
    </cfRule>
  </conditionalFormatting>
  <conditionalFormatting sqref="E272:E284">
    <cfRule type="cellIs" dxfId="83" priority="7" operator="lessThan">
      <formula>0</formula>
    </cfRule>
    <cfRule type="cellIs" dxfId="82" priority="8" operator="greaterThan">
      <formula>0</formula>
    </cfRule>
  </conditionalFormatting>
  <conditionalFormatting sqref="F26:F27">
    <cfRule type="expression" dxfId="81" priority="4">
      <formula>ISNUMBER(SEARCH("hit",F26))</formula>
    </cfRule>
    <cfRule type="expression" dxfId="80" priority="5">
      <formula>ISNUMBER(SEARCH("under",F26))</formula>
    </cfRule>
    <cfRule type="expression" dxfId="79" priority="6">
      <formula>ISNUMBER(SEARCH("over",F26))</formula>
    </cfRule>
  </conditionalFormatting>
  <conditionalFormatting sqref="F120:H132">
    <cfRule type="cellIs" dxfId="78" priority="73" operator="lessThan">
      <formula>0</formula>
    </cfRule>
    <cfRule type="cellIs" dxfId="77" priority="74" operator="greaterThan">
      <formula>0</formula>
    </cfRule>
    <cfRule type="cellIs" priority="75" operator="between"/>
    <cfRule type="expression" dxfId="76" priority="76"/>
    <cfRule type="expression" dxfId="75" priority="77"/>
  </conditionalFormatting>
  <conditionalFormatting sqref="F139:H151">
    <cfRule type="cellIs" dxfId="74" priority="78" operator="lessThan">
      <formula>0</formula>
    </cfRule>
    <cfRule type="cellIs" dxfId="73" priority="79" operator="greaterThan">
      <formula>0</formula>
    </cfRule>
    <cfRule type="cellIs" priority="80" operator="between"/>
    <cfRule type="expression" dxfId="72" priority="81"/>
    <cfRule type="expression" dxfId="71" priority="82"/>
  </conditionalFormatting>
  <conditionalFormatting sqref="G11">
    <cfRule type="containsText" dxfId="70" priority="44" operator="containsText" text="Up">
      <formula>NOT(ISERROR(SEARCH("Up",G11)))</formula>
    </cfRule>
    <cfRule type="containsText" dxfId="69" priority="45" operator="containsText" text="Down">
      <formula>NOT(ISERROR(SEARCH("Down",G11)))</formula>
    </cfRule>
  </conditionalFormatting>
  <conditionalFormatting sqref="G19">
    <cfRule type="containsText" dxfId="68" priority="56" operator="containsText" text="Up">
      <formula>NOT(ISERROR(SEARCH("Up",G19)))</formula>
    </cfRule>
    <cfRule type="containsText" dxfId="67" priority="57" operator="containsText" text="Down">
      <formula>NOT(ISERROR(SEARCH("Down",G19)))</formula>
    </cfRule>
  </conditionalFormatting>
  <conditionalFormatting sqref="G27">
    <cfRule type="containsText" dxfId="66" priority="17" operator="containsText" text="Down">
      <formula>NOT(ISERROR(SEARCH("Down",G27)))</formula>
    </cfRule>
    <cfRule type="containsText" dxfId="65" priority="18" operator="containsText" text="Up">
      <formula>NOT(ISERROR(SEARCH("Up",G27)))</formula>
    </cfRule>
  </conditionalFormatting>
  <conditionalFormatting sqref="G63:G75">
    <cfRule type="cellIs" dxfId="64" priority="34" operator="lessThan">
      <formula>0</formula>
    </cfRule>
    <cfRule type="cellIs" dxfId="63" priority="35" operator="greaterThan">
      <formula>0</formula>
    </cfRule>
    <cfRule type="cellIs" priority="36" operator="between"/>
    <cfRule type="expression" dxfId="62" priority="37"/>
    <cfRule type="expression" dxfId="61" priority="38"/>
  </conditionalFormatting>
  <conditionalFormatting sqref="H158:J170">
    <cfRule type="cellIs" dxfId="60" priority="39" operator="lessThan">
      <formula>0</formula>
    </cfRule>
    <cfRule type="cellIs" dxfId="59" priority="40" operator="greaterThan">
      <formula>0</formula>
    </cfRule>
    <cfRule type="cellIs" priority="41" operator="between"/>
    <cfRule type="expression" dxfId="58" priority="42"/>
    <cfRule type="expression" dxfId="57" priority="43"/>
  </conditionalFormatting>
  <conditionalFormatting sqref="H177:J189">
    <cfRule type="cellIs" dxfId="56" priority="100" operator="lessThan">
      <formula>0</formula>
    </cfRule>
    <cfRule type="cellIs" dxfId="55" priority="101" operator="greaterThan">
      <formula>0</formula>
    </cfRule>
    <cfRule type="cellIs" priority="102" operator="between"/>
    <cfRule type="expression" dxfId="54" priority="103"/>
    <cfRule type="expression" dxfId="53" priority="104"/>
  </conditionalFormatting>
  <conditionalFormatting sqref="H196:J208">
    <cfRule type="cellIs" dxfId="52" priority="95" operator="lessThan">
      <formula>0</formula>
    </cfRule>
    <cfRule type="cellIs" dxfId="51" priority="96" operator="greaterThan">
      <formula>0</formula>
    </cfRule>
    <cfRule type="cellIs" priority="97" operator="between"/>
    <cfRule type="expression" dxfId="50" priority="98"/>
    <cfRule type="expression" dxfId="49" priority="99"/>
  </conditionalFormatting>
  <conditionalFormatting sqref="I8">
    <cfRule type="containsText" dxfId="48" priority="109" operator="containsText" text="Up">
      <formula>NOT(ISERROR(SEARCH("Up",I8)))</formula>
    </cfRule>
    <cfRule type="containsText" dxfId="47" priority="110" operator="containsText" text="Down">
      <formula>NOT(ISERROR(SEARCH("Down",I8)))</formula>
    </cfRule>
  </conditionalFormatting>
  <conditionalFormatting sqref="I11">
    <cfRule type="containsText" dxfId="46" priority="107" operator="containsText" text="Up">
      <formula>NOT(ISERROR(SEARCH("Up",I11)))</formula>
    </cfRule>
    <cfRule type="containsText" dxfId="45" priority="108" operator="containsText" text="Down">
      <formula>NOT(ISERROR(SEARCH("Down",I11)))</formula>
    </cfRule>
  </conditionalFormatting>
  <conditionalFormatting sqref="I16">
    <cfRule type="containsText" dxfId="44" priority="71" operator="containsText" text="Up">
      <formula>NOT(ISERROR(SEARCH("Up",I16)))</formula>
    </cfRule>
    <cfRule type="containsText" dxfId="43" priority="72" operator="containsText" text="Down">
      <formula>NOT(ISERROR(SEARCH("Down",I16)))</formula>
    </cfRule>
  </conditionalFormatting>
  <conditionalFormatting sqref="I19">
    <cfRule type="containsText" dxfId="42" priority="69" operator="containsText" text="Up">
      <formula>NOT(ISERROR(SEARCH("Up",I19)))</formula>
    </cfRule>
    <cfRule type="containsText" dxfId="41" priority="70" operator="containsText" text="Down">
      <formula>NOT(ISERROR(SEARCH("Down",I19)))</formula>
    </cfRule>
  </conditionalFormatting>
  <conditionalFormatting sqref="I24">
    <cfRule type="containsText" dxfId="40" priority="27" operator="containsText" text="Down">
      <formula>NOT(ISERROR(SEARCH("Down",I24)))</formula>
    </cfRule>
    <cfRule type="containsText" dxfId="39" priority="28" operator="containsText" text="Up">
      <formula>NOT(ISERROR(SEARCH("Up",I24)))</formula>
    </cfRule>
  </conditionalFormatting>
  <conditionalFormatting sqref="I27">
    <cfRule type="containsText" dxfId="38" priority="25" operator="containsText" text="Down">
      <formula>NOT(ISERROR(SEARCH("Down",I27)))</formula>
    </cfRule>
    <cfRule type="containsText" dxfId="37" priority="26" operator="containsText" text="Up">
      <formula>NOT(ISERROR(SEARCH("Up",I27)))</formula>
    </cfRule>
  </conditionalFormatting>
  <conditionalFormatting sqref="I44:K56">
    <cfRule type="cellIs" dxfId="36" priority="121" operator="lessThan">
      <formula>0</formula>
    </cfRule>
    <cfRule type="cellIs" dxfId="35" priority="122" operator="greaterThan">
      <formula>0</formula>
    </cfRule>
    <cfRule type="cellIs" priority="123" operator="between"/>
    <cfRule type="expression" dxfId="34" priority="124"/>
    <cfRule type="expression" dxfId="33" priority="125"/>
  </conditionalFormatting>
  <conditionalFormatting sqref="I234:K246">
    <cfRule type="cellIs" dxfId="32" priority="15" operator="lessThan">
      <formula>0</formula>
    </cfRule>
    <cfRule type="cellIs" dxfId="31" priority="16" operator="greaterThan">
      <formula>0</formula>
    </cfRule>
  </conditionalFormatting>
  <conditionalFormatting sqref="I253:K265">
    <cfRule type="cellIs" dxfId="30" priority="13" operator="lessThan">
      <formula>0</formula>
    </cfRule>
    <cfRule type="cellIs" dxfId="29" priority="14" operator="greaterThan">
      <formula>0</formula>
    </cfRule>
  </conditionalFormatting>
  <conditionalFormatting sqref="I272:K284">
    <cfRule type="cellIs" dxfId="28" priority="11" operator="lessThan">
      <formula>0</formula>
    </cfRule>
    <cfRule type="cellIs" dxfId="27" priority="12" operator="greaterThan">
      <formula>0</formula>
    </cfRule>
  </conditionalFormatting>
  <conditionalFormatting sqref="J26:J27">
    <cfRule type="expression" dxfId="26" priority="1">
      <formula>ISNUMBER(SEARCH("hit",J26))</formula>
    </cfRule>
    <cfRule type="expression" dxfId="25" priority="2">
      <formula>ISNUMBER(SEARCH("under",J26))</formula>
    </cfRule>
    <cfRule type="expression" dxfId="24" priority="3">
      <formula>ISNUMBER(SEARCH("over",J26))</formula>
    </cfRule>
  </conditionalFormatting>
  <conditionalFormatting sqref="J215:L227">
    <cfRule type="cellIs" dxfId="23" priority="119" operator="lessThan">
      <formula>0</formula>
    </cfRule>
    <cfRule type="cellIs" dxfId="22" priority="120" operator="greaterThan">
      <formula>0</formula>
    </cfRule>
  </conditionalFormatting>
  <conditionalFormatting sqref="K11">
    <cfRule type="containsText" dxfId="21" priority="105" operator="containsText" text="Up">
      <formula>NOT(ISERROR(SEARCH("Up",K11)))</formula>
    </cfRule>
    <cfRule type="containsText" dxfId="20" priority="106" operator="containsText" text="Down">
      <formula>NOT(ISERROR(SEARCH("Down",K11)))</formula>
    </cfRule>
  </conditionalFormatting>
  <conditionalFormatting sqref="K19">
    <cfRule type="containsText" dxfId="19" priority="67" operator="containsText" text="Up">
      <formula>NOT(ISERROR(SEARCH("Up",K19)))</formula>
    </cfRule>
    <cfRule type="containsText" dxfId="18" priority="68" operator="containsText" text="Down">
      <formula>NOT(ISERROR(SEARCH("Down",K19)))</formula>
    </cfRule>
  </conditionalFormatting>
  <conditionalFormatting sqref="K27">
    <cfRule type="containsText" dxfId="17" priority="23" operator="containsText" text="Down">
      <formula>NOT(ISERROR(SEARCH("Down",K27)))</formula>
    </cfRule>
    <cfRule type="containsText" dxfId="16" priority="24" operator="containsText" text="Up">
      <formula>NOT(ISERROR(SEARCH("Up",K27)))</formula>
    </cfRule>
  </conditionalFormatting>
  <conditionalFormatting sqref="L63:N75">
    <cfRule type="cellIs" dxfId="15" priority="62" operator="lessThan">
      <formula>0</formula>
    </cfRule>
    <cfRule type="cellIs" dxfId="14" priority="63" operator="greaterThan">
      <formula>0</formula>
    </cfRule>
    <cfRule type="cellIs" priority="64" operator="between"/>
    <cfRule type="expression" dxfId="13" priority="65"/>
    <cfRule type="expression" dxfId="12" priority="66"/>
  </conditionalFormatting>
  <conditionalFormatting sqref="M8">
    <cfRule type="containsText" dxfId="11" priority="93" operator="containsText" text="Up">
      <formula>NOT(ISERROR(SEARCH("Up",M8)))</formula>
    </cfRule>
    <cfRule type="containsText" dxfId="10" priority="94" operator="containsText" text="Down">
      <formula>NOT(ISERROR(SEARCH("Down",M8)))</formula>
    </cfRule>
  </conditionalFormatting>
  <conditionalFormatting sqref="M11">
    <cfRule type="containsText" dxfId="9" priority="91" operator="containsText" text="Up">
      <formula>NOT(ISERROR(SEARCH("Up",M11)))</formula>
    </cfRule>
    <cfRule type="containsText" dxfId="8" priority="92" operator="containsText" text="Down">
      <formula>NOT(ISERROR(SEARCH("Down",M11)))</formula>
    </cfRule>
  </conditionalFormatting>
  <conditionalFormatting sqref="M16">
    <cfRule type="containsText" dxfId="7" priority="87" operator="containsText" text="Up">
      <formula>NOT(ISERROR(SEARCH("Up",M16)))</formula>
    </cfRule>
    <cfRule type="containsText" dxfId="6" priority="88" operator="containsText" text="Down">
      <formula>NOT(ISERROR(SEARCH("Down",M16)))</formula>
    </cfRule>
  </conditionalFormatting>
  <conditionalFormatting sqref="M19">
    <cfRule type="containsText" dxfId="5" priority="85" operator="containsText" text="Up">
      <formula>NOT(ISERROR(SEARCH("Up",M19)))</formula>
    </cfRule>
    <cfRule type="containsText" dxfId="4" priority="86" operator="containsText" text="Down">
      <formula>NOT(ISERROR(SEARCH("Down",M19)))</formula>
    </cfRule>
  </conditionalFormatting>
  <conditionalFormatting sqref="O11">
    <cfRule type="containsText" dxfId="3" priority="89" operator="containsText" text="Up">
      <formula>NOT(ISERROR(SEARCH("Up",O11)))</formula>
    </cfRule>
    <cfRule type="containsText" dxfId="2" priority="90" operator="containsText" text="Down">
      <formula>NOT(ISERROR(SEARCH("Down",O11)))</formula>
    </cfRule>
  </conditionalFormatting>
  <conditionalFormatting sqref="O19">
    <cfRule type="containsText" dxfId="1" priority="83" operator="containsText" text="Up">
      <formula>NOT(ISERROR(SEARCH("Up",O19)))</formula>
    </cfRule>
    <cfRule type="containsText" dxfId="0" priority="84" operator="containsText" text="Down">
      <formula>NOT(ISERROR(SEARCH("Down",O19)))</formula>
    </cfRule>
  </conditionalFormatting>
  <pageMargins left="0.7" right="0.7" top="0.75" bottom="0.75" header="0.3" footer="0.3"/>
  <pageSetup paperSize="9"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Generate Report (2)</vt:lpstr>
      <vt:lpstr>'Generate Report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James</dc:creator>
  <cp:lastModifiedBy>Ben James</cp:lastModifiedBy>
  <dcterms:created xsi:type="dcterms:W3CDTF">2026-08-05T19:38:37Z</dcterms:created>
  <dcterms:modified xsi:type="dcterms:W3CDTF">2026-08-05T19:39:34Z</dcterms:modified>
</cp:coreProperties>
</file>